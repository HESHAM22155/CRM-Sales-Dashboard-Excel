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ata_Analyst\Learn\Projectes\Depi Projects By Instractor Dina Ezzat\CRM+Sales+Opportunities\"/>
    </mc:Choice>
  </mc:AlternateContent>
  <xr:revisionPtr revIDLastSave="0" documentId="13_ncr:1_{E253F640-E371-4885-BAC2-673DF2B3802F}" xr6:coauthVersionLast="47" xr6:coauthVersionMax="47" xr10:uidLastSave="{00000000-0000-0000-0000-000000000000}"/>
  <bookViews>
    <workbookView xWindow="-96" yWindow="-96" windowWidth="23232" windowHeight="12432" xr2:uid="{00000000-000D-0000-FFFF-FFFF00000000}"/>
  </bookViews>
  <sheets>
    <sheet name="Time Fram1" sheetId="3" r:id="rId1"/>
    <sheet name="Sheet1" sheetId="1" r:id="rId2"/>
  </sheets>
  <externalReferences>
    <externalReference r:id="rId3"/>
  </externalReferences>
  <definedNames>
    <definedName name="_01_01_23">#REF!</definedName>
    <definedName name="Coffee">#REF!</definedName>
    <definedName name="Columbian_Medium_Roast_Sm">#REF!</definedName>
    <definedName name="Dark_chocolate_Lg">#REF!</definedName>
    <definedName name="Dark_chocolate_Rg">#REF!</definedName>
    <definedName name="Earl_Grey_Lg">#REF!</definedName>
    <definedName name="Ethiopia_Lg">#REF!</definedName>
    <definedName name="Gourmet_brewed_coffee">#REF!</definedName>
    <definedName name="Jumbo_Savory_Scone">#REF!</definedName>
    <definedName name="Large_1">[1]Analysis02!$J$24</definedName>
    <definedName name="Large_2">[1]Analysis02!$J$25</definedName>
    <definedName name="Latte_Rg">#REF!</definedName>
    <definedName name="Lemon_Grass_Rg">#REF!</definedName>
    <definedName name="Lower_Manhattan">#REF!</definedName>
    <definedName name="Oatmeal_Scone">#REF!</definedName>
    <definedName name="Our_Old_Time_Diner_Blend_Sm">#REF!</definedName>
    <definedName name="Ouro_Brasileiro_shot">#REF!</definedName>
    <definedName name="_xlnm.Print_Area" localSheetId="0">'Time Fram1'!$A$1:$OF$83</definedName>
    <definedName name="Serenity_Green_Tea_Lg">#REF!</definedName>
    <definedName name="Slicer_Quarter">#N/A</definedName>
    <definedName name="Slicer_regional_office">#N/A</definedName>
    <definedName name="Spicy_Eye_Opener_Chai_Lg">#REF!</definedName>
    <definedName name="Spicy_Eye_Opener_Chai_Rg">#REF!</definedName>
  </definedNames>
  <calcPr calcId="191029"/>
  <pivotCaches>
    <pivotCache cacheId="2214" r:id="rId4"/>
    <pivotCache cacheId="2217" r:id="rId5"/>
    <pivotCache cacheId="2220" r:id="rId6"/>
    <pivotCache cacheId="2223" r:id="rId7"/>
    <pivotCache cacheId="2226" r:id="rId8"/>
    <pivotCache cacheId="2229" r:id="rId9"/>
    <pivotCache cacheId="2232" r:id="rId10"/>
    <pivotCache cacheId="2235" r:id="rId11"/>
    <pivotCache cacheId="2238" r:id="rId12"/>
  </pivotCaches>
  <extLst>
    <ext xmlns:x14="http://schemas.microsoft.com/office/spreadsheetml/2009/9/main" uri="{876F7934-8845-4945-9796-88D515C7AA90}">
      <x14:pivotCaches>
        <pivotCache cacheId="8" r:id="rId13"/>
        <pivotCache cacheId="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ccounts_5f75f6d2-e2fe-4323-b4cb-f0b8fa09e706" name="Accounts" connection="Query - Accounts"/>
          <x15:modelTable id="data_dictionary_56e64687-1cad-4d51-a542-ecf10372ffcf" name="data_dictionary" connection="Query - data_dictionary"/>
          <x15:modelTable id="products_62066c54-3c8f-4dc6-a640-029a7e8518d5" name="products" connection="Query - products"/>
          <x15:modelTable id="sales_pipeline_6ea04bff-a269-482c-866e-2c5181b6832a" name="sales_pipeline" connection="Query - sales_pipeline"/>
          <x15:modelTable id="sales_teams_ae428b69-8764-40b6-bff4-a58f4f927403" name="sales_teams" connection="Query - sales_teams"/>
        </x15:modelTables>
        <x15:modelRelationships>
          <x15:modelRelationship fromTable="sales_pipeline" fromColumn="sales_agent" toTable="sales_teams" toColumn="sales_agent"/>
          <x15:modelRelationship fromTable="sales_pipeline" fromColumn="product" toTable="products" toColumn="product"/>
          <x15:modelRelationship fromTable="sales_pipeline" fromColumn="account" toTable="Accounts" toColumn="account"/>
        </x15:modelRelationships>
        <x15:extLst>
          <ext xmlns:x16="http://schemas.microsoft.com/office/spreadsheetml/2014/11/main" uri="{9835A34E-60A6-4A7C-AAB8-D5F71C897F49}">
            <x16:modelTimeGroupings>
              <x16:modelTimeGrouping tableName="sales_pipeline" columnName="close_date" columnId="close_date">
                <x16:calculatedTimeColumn columnName="close_date (Month Index)" columnId="close_date (Month Index)" contentType="monthsindex" isSelected="1"/>
                <x16:calculatedTimeColumn columnName="close_date (Month)" columnId="close_date (Month)" contentType="months" isSelected="1"/>
              </x16:modelTimeGrouping>
              <x16:modelTimeGrouping tableName="sales_pipeline" columnName="engage_date" columnId="engage_date">
                <x16:calculatedTimeColumn columnName="engage_date (Year)" columnId="engage_date (Year)" contentType="years" isSelected="1"/>
                <x16:calculatedTimeColumn columnName="engage_date (Quarter)" columnId="engage_date (Quarter)" contentType="quarters" isSelected="1"/>
                <x16:calculatedTimeColumn columnName="engage_date (Month Index)" columnId="engage_date (Month Index)" contentType="monthsindex" isSelected="1"/>
                <x16:calculatedTimeColumn columnName="engage_date (Month)" columnId="engag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9E5DAA-1409-4C0E-BF0D-66441646DF4C}" name="Query - Accounts" description="Connection to the 'Accounts' query in the workbook." type="100" refreshedVersion="8" minRefreshableVersion="5">
    <extLst>
      <ext xmlns:x15="http://schemas.microsoft.com/office/spreadsheetml/2010/11/main" uri="{DE250136-89BD-433C-8126-D09CA5730AF9}">
        <x15:connection id="ce77843c-9198-46d5-8276-dcc0339a29bb">
          <x15:oledbPr connection="Provider=Microsoft.Mashup.OleDb.1;Data Source=$Workbook$;Location=Accounts;Extended Properties=&quot;&quot;">
            <x15:dbTables>
              <x15:dbTable name="Accounts"/>
            </x15:dbTables>
          </x15:oledbPr>
        </x15:connection>
      </ext>
    </extLst>
  </connection>
  <connection id="2" xr16:uid="{F7B1EAFD-9720-4C77-9986-7D7E69C1976F}" name="Query - data_dictionary" description="Connection to the 'data_dictionary' query in the workbook." type="100" refreshedVersion="8" minRefreshableVersion="5">
    <extLst>
      <ext xmlns:x15="http://schemas.microsoft.com/office/spreadsheetml/2010/11/main" uri="{DE250136-89BD-433C-8126-D09CA5730AF9}">
        <x15:connection id="4cece815-cadf-44f2-8a47-6c8da5cd4846">
          <x15:oledbPr connection="Provider=Microsoft.Mashup.OleDb.1;Data Source=$Workbook$;Location=data_dictionary;Extended Properties=&quot;&quot;">
            <x15:dbTables>
              <x15:dbTable name="data_dictionary"/>
            </x15:dbTables>
          </x15:oledbPr>
        </x15:connection>
      </ext>
    </extLst>
  </connection>
  <connection id="3" xr16:uid="{48279D83-E8E1-4E63-8643-7B014FB12004}" name="Query - products" description="Connection to the 'products' query in the workbook." type="100" refreshedVersion="8" minRefreshableVersion="5">
    <extLst>
      <ext xmlns:x15="http://schemas.microsoft.com/office/spreadsheetml/2010/11/main" uri="{DE250136-89BD-433C-8126-D09CA5730AF9}">
        <x15:connection id="b346ab32-d1e1-4763-8f93-76a70667555b">
          <x15:oledbPr connection="Provider=Microsoft.Mashup.OleDb.1;Data Source=$Workbook$;Location=products;Extended Properties=&quot;&quot;">
            <x15:dbTables>
              <x15:dbTable name="products"/>
            </x15:dbTables>
          </x15:oledbPr>
        </x15:connection>
      </ext>
    </extLst>
  </connection>
  <connection id="4" xr16:uid="{C57E5D9B-9819-43C2-9E6F-A82875DACEE1}" name="Query - sales_pipeline" description="Connection to the 'sales_pipeline' query in the workbook." type="100" refreshedVersion="8" minRefreshableVersion="5">
    <extLst>
      <ext xmlns:x15="http://schemas.microsoft.com/office/spreadsheetml/2010/11/main" uri="{DE250136-89BD-433C-8126-D09CA5730AF9}">
        <x15:connection id="3ca4183d-7887-4ed7-b2ee-763c5c6aac12"/>
      </ext>
    </extLst>
  </connection>
  <connection id="5" xr16:uid="{17B23DE0-5F26-40C0-AFCF-8E4F5EE346DD}" name="Query - sales_teams" description="Connection to the 'sales_teams' query in the workbook." type="100" refreshedVersion="8" minRefreshableVersion="5">
    <extLst>
      <ext xmlns:x15="http://schemas.microsoft.com/office/spreadsheetml/2010/11/main" uri="{DE250136-89BD-433C-8126-D09CA5730AF9}">
        <x15:connection id="056d831a-313d-4283-9358-d3e92ff3299a">
          <x15:oledbPr connection="Provider=Microsoft.Mashup.OleDb.1;Data Source=$Workbook$;Location=sales_teams;Extended Properties=&quot;&quot;">
            <x15:dbTables>
              <x15:dbTable name="sales_teams"/>
            </x15:dbTables>
          </x15:oledbPr>
        </x15:connection>
      </ext>
    </extLst>
  </connection>
  <connection id="6" xr16:uid="{A73B5DB2-ACBB-4037-B7B9-39883FF3F1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ales_pipeline].[deal_stage].&amp;[Won]}"/>
    <s v="{[sales_pipeline].[deal_stage].&amp;[Lost],[sales_pipeline].[deal_stage].&amp;[Wo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<sst xmlns="http://schemas.openxmlformats.org/spreadsheetml/2006/main" count="65" uniqueCount="32">
  <si>
    <t>Count of opportunity_id</t>
  </si>
  <si>
    <t>Count of opp</t>
  </si>
  <si>
    <t>deal_stage</t>
  </si>
  <si>
    <t>Engaging</t>
  </si>
  <si>
    <t>Column Labels</t>
  </si>
  <si>
    <t>Grand Total</t>
  </si>
  <si>
    <t>Q-2</t>
  </si>
  <si>
    <t>Lost</t>
  </si>
  <si>
    <t>Prospecting</t>
  </si>
  <si>
    <t>Won</t>
  </si>
  <si>
    <t>Anna Snelling</t>
  </si>
  <si>
    <t>Darcel Schlecht</t>
  </si>
  <si>
    <t>Kary Hendrixson</t>
  </si>
  <si>
    <t>Vicki Laflamme</t>
  </si>
  <si>
    <t>Sales_agent</t>
  </si>
  <si>
    <t>Deal_stage</t>
  </si>
  <si>
    <t>total Lost</t>
  </si>
  <si>
    <t>total Won</t>
  </si>
  <si>
    <t>Sum of close_value</t>
  </si>
  <si>
    <t>Cara Losch</t>
  </si>
  <si>
    <t>Celia Rouche</t>
  </si>
  <si>
    <t>Dustin Brinkmann</t>
  </si>
  <si>
    <t>Melvin Marxen</t>
  </si>
  <si>
    <t>Rocco Neubert</t>
  </si>
  <si>
    <t>Summer Sewald</t>
  </si>
  <si>
    <t xml:space="preserve">Total Revenue </t>
  </si>
  <si>
    <t>(Multiple Items)</t>
  </si>
  <si>
    <t>Apr</t>
  </si>
  <si>
    <t>May</t>
  </si>
  <si>
    <t>Jun</t>
  </si>
  <si>
    <t>Jonathan Berthelot</t>
  </si>
  <si>
    <t>count opportunity_id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</si>
</sst>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gt;=1000000]&quot;$&quot;0.00,,&quot;M&quot;\ ;[&gt;=1000]\ &quot;$&quot;0.00,&quot;K&quot;;0.00\ \ \ \ \ \ \ "/>
    <numFmt numFmtId="165" formatCode="[&gt;=1000000]&quot;$&quot;0,,&quot;M&quot;\ ;[&gt;=1000]\ &quot;$&quot;0,&quot;K&quot;;0\ \ \ \ \ \ \ "/>
    <numFmt numFmtId="166" formatCode="_(* #,##0.0_);_(* \(#,##0.0\);_(* &quot;-&quot;??_);_(@_)"/>
    <numFmt numFmtId="167" formatCode="_(* #,##0_);_(* \(#,##0\);_(* &quot;-&quot;??_);_(@_)"/>
  </numFmts>
  <fonts count="2" x14ac:knownFonts="1">
    <font>
      <sz val="11"/>
      <color theme="1"/>
      <name val="Calibri"/>
      <family val="2"/>
      <scheme val="minor"/>
    </font>
    <font>
      <sz val="11"/>
      <color theme="5" tint="-0.249977111117893"/>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0" fontId="0" fillId="0" borderId="0" xfId="0" applyNumberFormat="1" applyAlignment="1">
      <alignment horizontal="center" vertical="center"/>
    </xf>
    <xf numFmtId="0" fontId="0" fillId="0" borderId="0" xfId="0" applyNumberFormat="1" applyAlignment="1">
      <alignment horizontal="center" vertical="center"/>
    </xf>
    <xf numFmtId="43" fontId="0" fillId="0" borderId="0" xfId="0" applyNumberFormat="1"/>
    <xf numFmtId="0" fontId="1" fillId="2" borderId="0" xfId="0" applyFont="1" applyFill="1"/>
    <xf numFmtId="10" fontId="1" fillId="2" borderId="0" xfId="0" applyNumberFormat="1" applyFont="1" applyFill="1"/>
    <xf numFmtId="164"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applyAlignment="1">
      <alignment horizontal="center" vertical="center"/>
    </xf>
    <xf numFmtId="166" fontId="0" fillId="0" borderId="0" xfId="0" applyNumberFormat="1"/>
    <xf numFmtId="43" fontId="0" fillId="0" borderId="0" xfId="0" applyNumberFormat="1" applyAlignment="1">
      <alignment horizontal="center" vertical="center"/>
    </xf>
  </cellXfs>
  <cellStyles count="1">
    <cellStyle name="Normal" xfId="0" builtinId="0"/>
  </cellStyles>
  <dxfs count="47">
    <dxf>
      <font>
        <b/>
        <i val="0"/>
        <sz val="20"/>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alignment horizontal="center" indent="0"/>
    </dxf>
    <dxf>
      <alignment horizontal="center" indent="0"/>
    </dxf>
    <dxf>
      <alignment vertical="center"/>
    </dxf>
    <dxf>
      <alignment vertical="center"/>
    </dxf>
    <dxf>
      <numFmt numFmtId="35" formatCode="_(* #,##0.00_);_(* \(#,##0.00\);_(* &quot;-&quot;??_);_(@_)"/>
    </dxf>
    <dxf>
      <numFmt numFmtId="35" formatCode="_(* #,##0.00_);_(* \(#,##0.00\);_(* &quot;-&quot;??_);_(@_)"/>
    </dxf>
    <dxf>
      <numFmt numFmtId="35" formatCode="_(* #,##0.00_);_(* \(#,##0.00\);_(* &quot;-&quot;??_);_(@_)"/>
    </dxf>
    <dxf>
      <numFmt numFmtId="0" formatCode="General"/>
    </dxf>
    <dxf>
      <alignment horizontal="center" indent="0"/>
    </dxf>
    <dxf>
      <alignment horizontal="center" indent="0"/>
    </dxf>
    <dxf>
      <alignment vertical="center"/>
    </dxf>
    <dxf>
      <alignment vertical="center"/>
    </dxf>
    <dxf>
      <numFmt numFmtId="35" formatCode="_(* #,##0.00_);_(* \(#,##0.00\);_(* &quot;-&quot;??_);_(@_)"/>
    </dxf>
    <dxf>
      <numFmt numFmtId="14" formatCode="0.00%"/>
    </dxf>
    <dxf>
      <numFmt numFmtId="35" formatCode="_(* #,##0.00_);_(* \(#,##0.00\);_(* &quot;-&quot;??_);_(@_)"/>
    </dxf>
    <dxf>
      <numFmt numFmtId="35" formatCode="_(* #,##0.00_);_(* \(#,##0.00\);_(* &quot;-&quot;??_);_(@_)"/>
    </dxf>
    <dxf>
      <alignment vertical="center"/>
    </dxf>
    <dxf>
      <alignment vertical="center"/>
    </dxf>
    <dxf>
      <alignment horizontal="center" indent="0"/>
    </dxf>
    <dxf>
      <alignment horizontal="center" indent="0"/>
    </dxf>
    <dxf>
      <numFmt numFmtId="14" formatCode="0.00%"/>
    </dxf>
    <dxf>
      <alignment vertical="center"/>
    </dxf>
    <dxf>
      <alignment vertical="center"/>
    </dxf>
    <dxf>
      <alignment horizontal="center" indent="0"/>
    </dxf>
    <dxf>
      <alignment horizontal="center" indent="0"/>
    </dxf>
    <dxf>
      <numFmt numFmtId="164" formatCode="[&gt;=1000000]&quot;$&quot;0.00,,&quot;M&quot;\ ;[&gt;=1000]\ &quot;$&quot;0.00,&quot;K&quot;;0.00\ \ \ \ \ \ \ "/>
    </dxf>
    <dxf>
      <numFmt numFmtId="165" formatCode="[&gt;=1000000]&quot;$&quot;0,,&quot;M&quot;\ ;[&gt;=1000]\ &quot;$&quot;0,&quot;K&quot;;0\ \ \ \ \ \ \ "/>
    </dxf>
    <dxf>
      <alignment vertical="center"/>
    </dxf>
    <dxf>
      <alignment vertical="center"/>
    </dxf>
    <dxf>
      <alignment horizontal="center" indent="0"/>
    </dxf>
    <dxf>
      <alignment horizontal="center" indent="0"/>
    </dxf>
    <dxf>
      <numFmt numFmtId="167" formatCode="_(* #,##0_);_(* \(#,##0\);_(* &quot;-&quot;??_);_(@_)"/>
    </dxf>
    <dxf>
      <numFmt numFmtId="35" formatCode="_(* #,##0.00_);_(* \(#,##0.00\);_(* &quot;-&quot;??_);_(@_)"/>
    </dxf>
    <dxf>
      <alignment vertical="center"/>
    </dxf>
    <dxf>
      <alignment vertical="center"/>
    </dxf>
    <dxf>
      <alignment horizontal="center" indent="0"/>
    </dxf>
    <dxf>
      <alignment horizontal="center" indent="0"/>
    </dxf>
    <dxf>
      <font>
        <b/>
        <i val="0"/>
        <sz val="16"/>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8"/>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sz val="18"/>
        <color auto="1"/>
      </font>
      <fill>
        <patternFill>
          <fgColor theme="2" tint="-0.749961851863155"/>
        </patternFill>
      </fill>
      <border>
        <bottom style="thin">
          <color theme="4"/>
        </bottom>
        <vertical/>
        <horizontal/>
      </border>
    </dxf>
    <dxf>
      <font>
        <color theme="0" tint="-4.9989318521683403E-2"/>
      </font>
      <fill>
        <patternFill>
          <fgColor theme="1"/>
        </patternFill>
      </fill>
      <border>
        <left style="thin">
          <color theme="1"/>
        </left>
        <right style="thin">
          <color theme="1"/>
        </right>
        <top style="thin">
          <color theme="1"/>
        </top>
        <bottom style="thin">
          <color theme="1"/>
        </bottom>
        <vertical/>
        <horizontal/>
      </border>
    </dxf>
    <dxf>
      <font>
        <b/>
        <i val="0"/>
        <sz val="16"/>
      </font>
      <fill>
        <patternFill>
          <bgColor rgb="FFF9F5F3"/>
        </patternFill>
      </fill>
      <border diagonalUp="0" diagonalDown="0">
        <left/>
        <right/>
        <top/>
        <bottom/>
        <vertical/>
        <horizontal/>
      </border>
    </dxf>
    <dxf>
      <fill>
        <patternFill>
          <fgColor theme="2" tint="-0.89996032593768116"/>
          <bgColor rgb="FFF9F5F3"/>
        </patternFill>
      </fill>
      <border diagonalUp="0" diagonalDown="0">
        <left/>
        <right/>
        <top/>
        <bottom/>
        <vertical/>
        <horizontal/>
      </border>
    </dxf>
  </dxfs>
  <tableStyles count="5" defaultTableStyle="TableStyleMedium2" defaultPivotStyle="PivotStyleLight16">
    <tableStyle name="Slicer Style 1" pivot="0" table="0" count="4" xr9:uid="{41982354-2EF8-40CC-9348-FE4A1D97C948}">
      <tableStyleElement type="wholeTable" dxfId="46"/>
      <tableStyleElement type="headerRow" dxfId="45"/>
    </tableStyle>
    <tableStyle name="SlicerStyleDark1 2" pivot="0" table="0" count="10" xr9:uid="{C0C61C93-3FAE-4078-A0E6-634688E3DEDC}">
      <tableStyleElement type="wholeTable" dxfId="44"/>
      <tableStyleElement type="headerRow" dxfId="43"/>
    </tableStyle>
    <tableStyle name="SlicerStyleDark3 2" pivot="0" table="0" count="10" xr9:uid="{60CDE039-0BCF-4EDF-9FEA-7460EA0E0C8F}">
      <tableStyleElement type="wholeTable" dxfId="1"/>
      <tableStyleElement type="headerRow" dxfId="0"/>
    </tableStyle>
    <tableStyle name="SlicerStyleLight3 2" pivot="0" table="0" count="10" xr9:uid="{B7DDEDE8-0C82-413C-AA58-6B68812AB0D5}">
      <tableStyleElement type="wholeTable" dxfId="42"/>
      <tableStyleElement type="headerRow" dxfId="41"/>
    </tableStyle>
    <tableStyle name="SlicerStyleLight3 3" pivot="0" table="0" count="10" xr9:uid="{13BA824D-8015-425D-A339-7FD4F11A2421}">
      <tableStyleElement type="wholeTable" dxfId="40"/>
      <tableStyleElement type="headerRow" dxfId="39"/>
    </tableStyle>
  </tableStyles>
  <colors>
    <mruColors>
      <color rgb="FF66FBDD"/>
      <color rgb="FF66FFCC"/>
      <color rgb="FFFF0000"/>
      <color rgb="FFE66914"/>
      <color rgb="FFFF7315"/>
      <color rgb="FFE45826"/>
      <color rgb="FFC17D53"/>
      <color rgb="FFBA6308"/>
      <color rgb="FFF1A21D"/>
      <color rgb="FFF0A500"/>
    </mruColors>
  </colors>
  <extLst>
    <ext xmlns:x14="http://schemas.microsoft.com/office/spreadsheetml/2009/9/main" uri="{46F421CA-312F-682f-3DD2-61675219B42D}">
      <x14:dxfs count="30">
        <dxf>
          <font>
            <sz val="16"/>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16"/>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sz val="1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6"/>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sz val="12"/>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1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theme="0" tint="-4.9989318521683403E-2"/>
          </font>
          <fill>
            <patternFill patternType="solid">
              <fgColor theme="3" tint="-0.24994659260841701"/>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16"/>
            <color theme="0"/>
          </font>
          <fill>
            <patternFill patternType="solid">
              <fgColor theme="3" tint="-0.24994659260841701"/>
              <bgColor theme="4"/>
            </patternFill>
          </fill>
          <border>
            <left style="thin">
              <color theme="4"/>
            </left>
            <right style="thin">
              <color theme="4"/>
            </right>
            <top style="thin">
              <color theme="4"/>
            </top>
            <bottom style="thin">
              <color theme="4"/>
            </bottom>
            <vertical/>
            <horizontal/>
          </border>
        </dxf>
        <dxf>
          <font>
            <sz val="16"/>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6"/>
            <color rgb="FF000000"/>
          </font>
          <fill>
            <patternFill patternType="solid">
              <fgColor theme="3" tint="-0.24994659260841701"/>
              <bgColor rgb="FFC0C0C0"/>
            </patternFill>
          </fill>
          <border>
            <left style="thin">
              <color rgb="FFC0C0C0"/>
            </left>
            <right style="thin">
              <color rgb="FFC0C0C0"/>
            </right>
            <top style="thin">
              <color rgb="FFC0C0C0"/>
            </top>
            <bottom style="thin">
              <color rgb="FFC0C0C0"/>
            </bottom>
            <vertical/>
            <horizontal/>
          </border>
        </dxf>
        <dxf>
          <font>
            <b val="0"/>
            <i/>
            <color theme="0" tint="-0.34998626667073579"/>
          </font>
          <fill>
            <patternFill>
              <bgColor theme="0"/>
            </patternFill>
          </fill>
          <border diagonalUp="0" diagonalDown="0">
            <left/>
            <right/>
            <top/>
            <bottom style="medium">
              <color theme="0" tint="-0.14996795556505021"/>
            </bottom>
            <vertical/>
            <horizontal/>
          </border>
        </dxf>
        <dxf>
          <font>
            <sz val="12"/>
            <color theme="2" tint="-0.499984740745262"/>
          </font>
          <fill>
            <patternFill>
              <bgColor theme="0"/>
            </patternFill>
          </fill>
          <border diagonalUp="0" diagonalDown="0">
            <left/>
            <right/>
            <top/>
            <bottom style="thick">
              <color theme="0" tint="-0.24994659260841701"/>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selectedItemWithData" dxfId="29"/>
            <x14:slicerStyleElement type="selectedItemWithNoData" dxfId="28"/>
          </x14:slicerStyleElements>
        </x14:slicerStyle>
        <x14:slicerStyle name="SlicerStyleDark1 2">
          <x14:slicerStyleElements>
            <x14:slicerStyleElement type="unselectedItemWithData" dxfId="27"/>
            <x14:slicerStyleElement type="unselectedItemWithNoData" dxfId="26"/>
            <x14:slicerStyleElement type="selectedItemWithData" dxfId="25"/>
            <x14:slicerStyleElement type="selectedItemWithNoData" dxfId="24"/>
            <x14:slicerStyleElement type="hoveredUnselectedItemWithData" dxfId="23"/>
            <x14:slicerStyleElement type="hoveredSelectedItemWithData" dxfId="22"/>
            <x14:slicerStyleElement type="hoveredUnselectedItemWithNoData" dxfId="21"/>
            <x14:slicerStyleElement type="hoveredSelectedItemWithNoData" dxfId="20"/>
          </x14:slicerStyleElements>
        </x14:slicerStyle>
        <x14:slicerStyle name="SlicerStyleDark3 2">
          <x14:slicerStyleElements>
            <x14:slicerStyleElement type="unselectedItemWithData" dxfId="3"/>
            <x14:slicerStyleElement type="unselectedItemWithNoData" dxfId="2"/>
            <x14:slicerStyleElement type="selectedItemWithData" dxfId="1"/>
            <x14:slicerStyleElement type="selectedItemWithNoData" dxfId="0"/>
            <x14:slicerStyleElement type="hoveredUnselectedItemWithData"/>
            <x14:slicerStyleElement type="hoveredSelectedItemWithData"/>
            <x14:slicerStyleElement type="hoveredUnselectedItemWithNoData"/>
            <x14:slicerStyleElement type="hoveredSelectedItemWithNoData"/>
          </x14:slicerStyleElements>
        </x14:slicerStyle>
        <x14:slicerStyle name="SlicerStyleLight3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StyleLight3 3">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BDD">
              <a:alpha val="61000"/>
            </a:srgbClr>
          </a:solidFill>
          <a:ln w="6350" cap="flat" cmpd="sng" algn="ctr">
            <a:no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BDD">
              <a:alpha val="61000"/>
            </a:srgbClr>
          </a:solidFill>
          <a:ln w="6350" cap="flat" cmpd="sng" algn="ctr">
            <a:noFill/>
            <a:prstDash val="solid"/>
            <a:miter lim="800000"/>
          </a:ln>
          <a:effectLst/>
        </c:spPr>
      </c:pivotFmt>
      <c:pivotFmt>
        <c:idx val="4"/>
        <c:spPr>
          <a:solidFill>
            <a:srgbClr val="66FBDD">
              <a:alpha val="61000"/>
            </a:srgbClr>
          </a:solidFill>
          <a:ln w="6350" cap="flat" cmpd="sng" algn="ctr">
            <a:noFill/>
            <a:prstDash val="solid"/>
            <a:miter lim="800000"/>
          </a:ln>
          <a:effectLst/>
        </c:spPr>
      </c:pivotFmt>
      <c:pivotFmt>
        <c:idx val="5"/>
        <c:spPr>
          <a:solidFill>
            <a:srgbClr val="66FBDD">
              <a:alpha val="61000"/>
            </a:srgbClr>
          </a:solidFill>
          <a:ln w="6350" cap="flat" cmpd="sng" algn="ctr">
            <a:noFill/>
            <a:prstDash val="solid"/>
            <a:miter lim="800000"/>
          </a:ln>
          <a:effectLst/>
        </c:spPr>
      </c:pivotFmt>
    </c:pivotFmts>
    <c:plotArea>
      <c:layout>
        <c:manualLayout>
          <c:layoutTarget val="inner"/>
          <c:xMode val="edge"/>
          <c:yMode val="edge"/>
          <c:x val="0.17778122380973888"/>
          <c:y val="7.3846153846153853E-2"/>
          <c:w val="0.79906398243755139"/>
          <c:h val="0.6833363214213608"/>
        </c:manualLayout>
      </c:layout>
      <c:barChart>
        <c:barDir val="bar"/>
        <c:grouping val="clustered"/>
        <c:varyColors val="0"/>
        <c:ser>
          <c:idx val="0"/>
          <c:order val="0"/>
          <c:tx>
            <c:strRef>
              <c:f>Sheet1!$B$19:$B$20</c:f>
              <c:strCache>
                <c:ptCount val="1"/>
                <c:pt idx="0">
                  <c:v>2017</c:v>
                </c:pt>
              </c:strCache>
            </c:strRef>
          </c:tx>
          <c:spPr>
            <a:solidFill>
              <a:srgbClr val="66FBDD">
                <a:alpha val="61000"/>
              </a:srgbClr>
            </a:solidFill>
            <a:ln w="6350" cap="flat" cmpd="sng" algn="ctr">
              <a:no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Sheet1!$A$21:$A$26</c:f>
              <c:strCache>
                <c:ptCount val="5"/>
                <c:pt idx="0">
                  <c:v>Darcel Schlecht</c:v>
                </c:pt>
                <c:pt idx="1">
                  <c:v>Vicki Laflamme</c:v>
                </c:pt>
                <c:pt idx="2">
                  <c:v>Kary Hendrixson</c:v>
                </c:pt>
                <c:pt idx="3">
                  <c:v>Anna Snelling</c:v>
                </c:pt>
                <c:pt idx="4">
                  <c:v>Jonathan Berthelot</c:v>
                </c:pt>
              </c:strCache>
            </c:strRef>
          </c:cat>
          <c:val>
            <c:numRef>
              <c:f>Sheet1!$B$21:$B$26</c:f>
              <c:numCache>
                <c:formatCode>General</c:formatCode>
                <c:ptCount val="5"/>
                <c:pt idx="0">
                  <c:v>96</c:v>
                </c:pt>
                <c:pt idx="1">
                  <c:v>57</c:v>
                </c:pt>
                <c:pt idx="2">
                  <c:v>55</c:v>
                </c:pt>
                <c:pt idx="3">
                  <c:v>71</c:v>
                </c:pt>
                <c:pt idx="4">
                  <c:v>57</c:v>
                </c:pt>
              </c:numCache>
            </c:numRef>
          </c:val>
          <c:extLst>
            <c:ext xmlns:c16="http://schemas.microsoft.com/office/drawing/2014/chart" uri="{C3380CC4-5D6E-409C-BE32-E72D297353CC}">
              <c16:uniqueId val="{00000000-16BC-42A0-9F9B-66D832AA475F}"/>
            </c:ext>
          </c:extLst>
        </c:ser>
        <c:dLbls>
          <c:dLblPos val="outEnd"/>
          <c:showLegendKey val="0"/>
          <c:showVal val="1"/>
          <c:showCatName val="0"/>
          <c:showSerName val="0"/>
          <c:showPercent val="0"/>
          <c:showBubbleSize val="0"/>
        </c:dLbls>
        <c:gapWidth val="93"/>
        <c:overlap val="3"/>
        <c:axId val="1256001648"/>
        <c:axId val="1256002128"/>
      </c:barChart>
      <c:catAx>
        <c:axId val="125600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2128"/>
        <c:crosses val="autoZero"/>
        <c:auto val="1"/>
        <c:lblAlgn val="ctr"/>
        <c:lblOffset val="100"/>
        <c:noMultiLvlLbl val="0"/>
      </c:catAx>
      <c:valAx>
        <c:axId val="125600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 Microsoft Excel Worksheet.xlsx]Sheet1!PivotTable3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45826"/>
          </a:solidFill>
          <a:ln w="6350" cap="flat" cmpd="sng" algn="ctr">
            <a:solidFill>
              <a:schemeClr val="accent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w="6350" cap="flat" cmpd="sng" algn="ctr">
            <a:solidFill>
              <a:schemeClr val="accent3"/>
            </a:solidFill>
            <a:prstDash val="solid"/>
            <a:miter lim="800000"/>
          </a:ln>
          <a:effectLst/>
        </c:spPr>
      </c:pivotFmt>
      <c:pivotFmt>
        <c:idx val="4"/>
        <c:spPr>
          <a:solidFill>
            <a:srgbClr val="E45826"/>
          </a:solidFill>
          <a:ln w="6350" cap="flat" cmpd="sng" algn="ctr">
            <a:solidFill>
              <a:schemeClr val="accent3"/>
            </a:solidFill>
            <a:prstDash val="solid"/>
            <a:miter lim="800000"/>
          </a:ln>
          <a:effectLst/>
        </c:spPr>
      </c:pivotFmt>
      <c:pivotFmt>
        <c:idx val="5"/>
        <c:spPr>
          <a:solidFill>
            <a:srgbClr val="E45826"/>
          </a:solidFill>
          <a:ln w="6350" cap="flat" cmpd="sng" algn="ctr">
            <a:solidFill>
              <a:schemeClr val="accent3"/>
            </a:solidFill>
            <a:prstDash val="solid"/>
            <a:miter lim="800000"/>
          </a:ln>
          <a:effectLst/>
        </c:spPr>
      </c:pivotFmt>
      <c:pivotFmt>
        <c:idx val="6"/>
        <c:spPr>
          <a:solidFill>
            <a:srgbClr val="66FBDD">
              <a:alpha val="61000"/>
            </a:srgbClr>
          </a:solidFill>
          <a:ln cmpd="sng">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6FBDD">
              <a:alpha val="61000"/>
            </a:srgbClr>
          </a:solidFill>
          <a:ln cmpd="sng">
            <a:noFill/>
          </a:ln>
          <a:effectLst/>
        </c:spPr>
      </c:pivotFmt>
      <c:pivotFmt>
        <c:idx val="8"/>
        <c:spPr>
          <a:solidFill>
            <a:srgbClr val="66FBDD">
              <a:alpha val="61000"/>
            </a:srgbClr>
          </a:solidFill>
          <a:ln cmpd="sng">
            <a:noFill/>
          </a:ln>
          <a:effectLst/>
        </c:spPr>
      </c:pivotFmt>
      <c:pivotFmt>
        <c:idx val="9"/>
        <c:spPr>
          <a:solidFill>
            <a:srgbClr val="66FBDD">
              <a:alpha val="61000"/>
            </a:srgbClr>
          </a:solidFill>
          <a:ln cmpd="sng">
            <a:noFill/>
          </a:ln>
          <a:effectLst/>
        </c:spPr>
      </c:pivotFmt>
    </c:pivotFmts>
    <c:plotArea>
      <c:layout>
        <c:manualLayout>
          <c:layoutTarget val="inner"/>
          <c:xMode val="edge"/>
          <c:yMode val="edge"/>
          <c:x val="0.17470469926891322"/>
          <c:y val="6.4634633738964442E-2"/>
          <c:w val="0.79214076688689772"/>
          <c:h val="0.81681162013839181"/>
        </c:manualLayout>
      </c:layout>
      <c:barChart>
        <c:barDir val="bar"/>
        <c:grouping val="clustered"/>
        <c:varyColors val="0"/>
        <c:ser>
          <c:idx val="0"/>
          <c:order val="0"/>
          <c:tx>
            <c:strRef>
              <c:f>Sheet1!$K$20:$K$21</c:f>
              <c:strCache>
                <c:ptCount val="1"/>
                <c:pt idx="0">
                  <c:v>2017</c:v>
                </c:pt>
              </c:strCache>
            </c:strRef>
          </c:tx>
          <c:spPr>
            <a:solidFill>
              <a:srgbClr val="66FBDD">
                <a:alpha val="61000"/>
              </a:srgbClr>
            </a:solidFill>
            <a:ln cmpd="sng">
              <a:noFill/>
            </a:ln>
            <a:effectLst/>
          </c:spPr>
          <c:invertIfNegative val="0"/>
          <c:dPt>
            <c:idx val="0"/>
            <c:invertIfNegative val="0"/>
            <c:bubble3D val="0"/>
            <c:extLst>
              <c:ext xmlns:c16="http://schemas.microsoft.com/office/drawing/2014/chart" uri="{C3380CC4-5D6E-409C-BE32-E72D297353CC}">
                <c16:uniqueId val="{00000000-192B-4403-A088-051AC0FDDA7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Sheet1!$J$22:$J$28</c:f>
              <c:strCache>
                <c:ptCount val="6"/>
                <c:pt idx="0">
                  <c:v>Cara Losch</c:v>
                </c:pt>
                <c:pt idx="1">
                  <c:v>Celia Rouche</c:v>
                </c:pt>
                <c:pt idx="2">
                  <c:v>Dustin Brinkmann</c:v>
                </c:pt>
                <c:pt idx="3">
                  <c:v>Melvin Marxen</c:v>
                </c:pt>
                <c:pt idx="4">
                  <c:v>Rocco Neubert</c:v>
                </c:pt>
                <c:pt idx="5">
                  <c:v>Summer Sewald</c:v>
                </c:pt>
              </c:strCache>
            </c:strRef>
          </c:cat>
          <c:val>
            <c:numRef>
              <c:f>Sheet1!$K$22:$K$28</c:f>
              <c:numCache>
                <c:formatCode>General</c:formatCode>
                <c:ptCount val="6"/>
                <c:pt idx="0">
                  <c:v>132</c:v>
                </c:pt>
                <c:pt idx="1">
                  <c:v>179</c:v>
                </c:pt>
                <c:pt idx="2">
                  <c:v>236</c:v>
                </c:pt>
                <c:pt idx="3">
                  <c:v>251</c:v>
                </c:pt>
                <c:pt idx="4">
                  <c:v>217</c:v>
                </c:pt>
                <c:pt idx="5">
                  <c:v>239</c:v>
                </c:pt>
              </c:numCache>
            </c:numRef>
          </c:val>
          <c:extLst>
            <c:ext xmlns:c16="http://schemas.microsoft.com/office/drawing/2014/chart" uri="{C3380CC4-5D6E-409C-BE32-E72D297353CC}">
              <c16:uniqueId val="{00000000-16BC-42A0-9F9B-66D832AA475F}"/>
            </c:ext>
          </c:extLst>
        </c:ser>
        <c:dLbls>
          <c:dLblPos val="outEnd"/>
          <c:showLegendKey val="0"/>
          <c:showVal val="1"/>
          <c:showCatName val="0"/>
          <c:showSerName val="0"/>
          <c:showPercent val="0"/>
          <c:showBubbleSize val="0"/>
        </c:dLbls>
        <c:gapWidth val="87"/>
        <c:overlap val="3"/>
        <c:axId val="1256001648"/>
        <c:axId val="1256002128"/>
      </c:barChart>
      <c:catAx>
        <c:axId val="125600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2128"/>
        <c:crosses val="autoZero"/>
        <c:auto val="1"/>
        <c:lblAlgn val="ctr"/>
        <c:lblOffset val="100"/>
        <c:noMultiLvlLbl val="0"/>
      </c:catAx>
      <c:valAx>
        <c:axId val="125600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164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[New Microsoft Excel Worksheet.xlsx]Sheet1!PivotTable7</c:name>
    <c:fmtId val="15"/>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65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hade val="65000"/>
            </a:schemeClr>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tint val="65000"/>
            </a:schemeClr>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hade val="65000"/>
            </a:schemeClr>
          </a:solidFill>
          <a:ln w="19050">
            <a:solidFill>
              <a:schemeClr val="lt1"/>
            </a:solidFill>
          </a:ln>
          <a:effectLst/>
        </c:spPr>
      </c:pivotFmt>
      <c:pivotFmt>
        <c:idx val="13"/>
        <c:spPr>
          <a:solidFill>
            <a:srgbClr val="83527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5EDFA"/>
          </a:solidFill>
          <a:ln w="19050">
            <a:noFill/>
          </a:ln>
          <a:effectLst/>
        </c:spPr>
      </c:pivotFmt>
      <c:pivotFmt>
        <c:idx val="15"/>
        <c:spPr>
          <a:solidFill>
            <a:srgbClr val="835271"/>
          </a:solidFill>
          <a:ln w="19050">
            <a:noFill/>
          </a:ln>
          <a:effectLst/>
        </c:spPr>
      </c:pivotFmt>
      <c:pivotFmt>
        <c:idx val="16"/>
        <c:spPr>
          <a:solidFill>
            <a:srgbClr val="C9A7C7"/>
          </a:solidFill>
          <a:ln w="19050">
            <a:noFill/>
          </a:ln>
          <a:effectLst/>
        </c:spPr>
      </c:pivotFmt>
      <c:pivotFmt>
        <c:idx val="17"/>
        <c:spPr>
          <a:solidFill>
            <a:srgbClr val="66FFC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ysClr val="window" lastClr="FFFFFF">
              <a:lumMod val="65000"/>
            </a:sysClr>
          </a:solidFill>
          <a:ln w="19050">
            <a:noFill/>
          </a:ln>
          <a:effectLst/>
        </c:spPr>
      </c:pivotFmt>
      <c:pivotFmt>
        <c:idx val="19"/>
        <c:spPr>
          <a:solidFill>
            <a:srgbClr val="66FBDD">
              <a:alpha val="61000"/>
            </a:srgbClr>
          </a:solidFill>
          <a:ln w="19050">
            <a:noFill/>
          </a:ln>
          <a:effectLst/>
        </c:spPr>
      </c:pivotFmt>
      <c:pivotFmt>
        <c:idx val="20"/>
        <c:spPr>
          <a:solidFill>
            <a:srgbClr val="66FBDD">
              <a:alpha val="90000"/>
            </a:srgbClr>
          </a:solidFill>
          <a:ln w="19050">
            <a:noFill/>
          </a:ln>
          <a:effectLst/>
        </c:spPr>
        <c:dLbl>
          <c:idx val="0"/>
          <c:layout>
            <c:manualLayout>
              <c:x val="2.5635922234170487E-3"/>
              <c:y val="-2.6594078212000135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ysClr val="window" lastClr="FFFFFF"/>
          </a:solidFill>
          <a:ln w="19050">
            <a:noFill/>
          </a:ln>
          <a:effectLst/>
        </c:spPr>
      </c:pivotFmt>
    </c:pivotFmts>
    <c:plotArea>
      <c:layout>
        <c:manualLayout>
          <c:layoutTarget val="inner"/>
          <c:xMode val="edge"/>
          <c:yMode val="edge"/>
          <c:x val="7.1265091863517066E-2"/>
          <c:y val="0.13463661773240598"/>
          <c:w val="0.44864428788506699"/>
          <c:h val="0.71432212036015785"/>
        </c:manualLayout>
      </c:layout>
      <c:doughnutChart>
        <c:varyColors val="0"/>
        <c:ser>
          <c:idx val="0"/>
          <c:order val="0"/>
          <c:tx>
            <c:strRef>
              <c:f>Sheet1!$K$4</c:f>
              <c:strCache>
                <c:ptCount val="1"/>
                <c:pt idx="0">
                  <c:v>Total</c:v>
                </c:pt>
              </c:strCache>
            </c:strRef>
          </c:tx>
          <c:spPr>
            <a:solidFill>
              <a:srgbClr val="66FFCC"/>
            </a:solidFill>
            <a:ln w="19050">
              <a:noFill/>
            </a:ln>
            <a:effectLst/>
          </c:spPr>
          <c:explosion val="6"/>
          <c:dPt>
            <c:idx val="0"/>
            <c:bubble3D val="0"/>
            <c:spPr>
              <a:solidFill>
                <a:sysClr val="window" lastClr="FFFFFF">
                  <a:lumMod val="65000"/>
                </a:sysClr>
              </a:solidFill>
              <a:ln w="19050">
                <a:noFill/>
              </a:ln>
              <a:effectLst/>
            </c:spPr>
            <c:extLst>
              <c:ext xmlns:c16="http://schemas.microsoft.com/office/drawing/2014/chart" uri="{C3380CC4-5D6E-409C-BE32-E72D297353CC}">
                <c16:uniqueId val="{00000001-219C-4AED-A1C6-E805EFE26A1B}"/>
              </c:ext>
            </c:extLst>
          </c:dPt>
          <c:dPt>
            <c:idx val="1"/>
            <c:bubble3D val="0"/>
            <c:spPr>
              <a:solidFill>
                <a:srgbClr val="66FBDD">
                  <a:alpha val="61000"/>
                </a:srgbClr>
              </a:solidFill>
              <a:ln w="19050">
                <a:noFill/>
              </a:ln>
              <a:effectLst/>
            </c:spPr>
            <c:extLst>
              <c:ext xmlns:c16="http://schemas.microsoft.com/office/drawing/2014/chart" uri="{C3380CC4-5D6E-409C-BE32-E72D297353CC}">
                <c16:uniqueId val="{00000003-219C-4AED-A1C6-E805EFE26A1B}"/>
              </c:ext>
            </c:extLst>
          </c:dPt>
          <c:dPt>
            <c:idx val="2"/>
            <c:bubble3D val="0"/>
            <c:spPr>
              <a:solidFill>
                <a:srgbClr val="66FBDD">
                  <a:alpha val="90000"/>
                </a:srgbClr>
              </a:solidFill>
              <a:ln w="19050">
                <a:noFill/>
              </a:ln>
              <a:effectLst/>
            </c:spPr>
            <c:extLst>
              <c:ext xmlns:c16="http://schemas.microsoft.com/office/drawing/2014/chart" uri="{C3380CC4-5D6E-409C-BE32-E72D297353CC}">
                <c16:uniqueId val="{00000005-219C-4AED-A1C6-E805EFE26A1B}"/>
              </c:ext>
            </c:extLst>
          </c:dPt>
          <c:dPt>
            <c:idx val="3"/>
            <c:bubble3D val="0"/>
            <c:spPr>
              <a:solidFill>
                <a:sysClr val="window" lastClr="FFFFFF"/>
              </a:solidFill>
              <a:ln w="19050">
                <a:noFill/>
              </a:ln>
              <a:effectLst/>
            </c:spPr>
            <c:extLst>
              <c:ext xmlns:c16="http://schemas.microsoft.com/office/drawing/2014/chart" uri="{C3380CC4-5D6E-409C-BE32-E72D297353CC}">
                <c16:uniqueId val="{00000010-6D50-4C79-81A4-CAC9CC16D6C4}"/>
              </c:ext>
            </c:extLst>
          </c:dPt>
          <c:dLbls>
            <c:dLbl>
              <c:idx val="2"/>
              <c:layout>
                <c:manualLayout>
                  <c:x val="2.5635922234170487E-3"/>
                  <c:y val="-2.6594078212000135E-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19C-4AED-A1C6-E805EFE26A1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Sheet1!$J$5:$J$9</c:f>
              <c:strCache>
                <c:ptCount val="4"/>
                <c:pt idx="0">
                  <c:v>Engaging</c:v>
                </c:pt>
                <c:pt idx="1">
                  <c:v>total Lost</c:v>
                </c:pt>
                <c:pt idx="2">
                  <c:v>Prospecting</c:v>
                </c:pt>
                <c:pt idx="3">
                  <c:v>total Won</c:v>
                </c:pt>
              </c:strCache>
            </c:strRef>
          </c:cat>
          <c:val>
            <c:numRef>
              <c:f>Sheet1!$K$5:$K$9</c:f>
              <c:numCache>
                <c:formatCode>0.00%</c:formatCode>
                <c:ptCount val="4"/>
                <c:pt idx="0">
                  <c:v>0.1830723340790455</c:v>
                </c:pt>
                <c:pt idx="1">
                  <c:v>0.29008202833706187</c:v>
                </c:pt>
                <c:pt idx="2">
                  <c:v>5.9284116331096197E-2</c:v>
                </c:pt>
                <c:pt idx="3">
                  <c:v>0.46756152125279643</c:v>
                </c:pt>
              </c:numCache>
            </c:numRef>
          </c:val>
          <c:extLst>
            <c:ext xmlns:c16="http://schemas.microsoft.com/office/drawing/2014/chart" uri="{C3380CC4-5D6E-409C-BE32-E72D297353CC}">
              <c16:uniqueId val="{00000006-219C-4AED-A1C6-E805EFE26A1B}"/>
            </c:ext>
          </c:extLst>
        </c:ser>
        <c:dLbls>
          <c:showLegendKey val="0"/>
          <c:showVal val="0"/>
          <c:showCatName val="0"/>
          <c:showSerName val="0"/>
          <c:showPercent val="1"/>
          <c:showBubbleSize val="0"/>
          <c:showLeaderLines val="1"/>
        </c:dLbls>
        <c:firstSliceAng val="0"/>
        <c:holeSize val="63"/>
      </c:doughnutChart>
      <c:spPr>
        <a:solidFill>
          <a:sysClr val="windowText" lastClr="000000">
            <a:lumMod val="85000"/>
            <a:lumOff val="15000"/>
          </a:sysClr>
        </a:solidFill>
        <a:ln>
          <a:noFill/>
        </a:ln>
        <a:effectLst/>
      </c:spPr>
    </c:plotArea>
    <c:legend>
      <c:legendPos val="b"/>
      <c:layout>
        <c:manualLayout>
          <c:xMode val="edge"/>
          <c:yMode val="edge"/>
          <c:x val="1.257300732145324E-2"/>
          <c:y val="0.90480287620297462"/>
          <c:w val="0.83918128654970758"/>
          <c:h val="9.4356249902857778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Worksheet.xlsx]Sheet1!PivotTable8</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rgbClr val="66FBDD">
                <a:alpha val="98000"/>
              </a:srgbClr>
            </a:solidFill>
            <a:round/>
          </a:ln>
          <a:effectLst/>
        </c:spPr>
        <c:marker>
          <c:symbol val="triangle"/>
          <c:size val="13"/>
          <c:spPr>
            <a:solidFill>
              <a:schemeClr val="bg1">
                <a:lumMod val="6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1275" cap="rnd">
            <a:solidFill>
              <a:srgbClr val="66FBDD">
                <a:alpha val="98000"/>
              </a:srgbClr>
            </a:solidFill>
            <a:round/>
          </a:ln>
          <a:effectLst/>
        </c:spPr>
        <c:marker>
          <c:symbol val="triangle"/>
          <c:size val="13"/>
          <c:spPr>
            <a:solidFill>
              <a:schemeClr val="bg1">
                <a:lumMod val="65000"/>
              </a:schemeClr>
            </a:solidFill>
            <a:ln w="9525">
              <a:noFill/>
            </a:ln>
            <a:effectLst/>
          </c:spPr>
        </c:marker>
        <c:dLbl>
          <c:idx val="0"/>
          <c:layout>
            <c:manualLayout>
              <c:x val="-3.0242923312587315E-2"/>
              <c:y val="-8.008781224246705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41275" cap="rnd">
            <a:solidFill>
              <a:srgbClr val="66FBDD">
                <a:alpha val="98000"/>
              </a:srgbClr>
            </a:solidFill>
            <a:round/>
          </a:ln>
          <a:effectLst/>
        </c:spPr>
        <c:marker>
          <c:symbol val="triangle"/>
          <c:size val="13"/>
          <c:spPr>
            <a:solidFill>
              <a:schemeClr val="bg1">
                <a:lumMod val="65000"/>
              </a:schemeClr>
            </a:solidFill>
            <a:ln w="9525">
              <a:noFill/>
            </a:ln>
            <a:effectLst/>
          </c:spPr>
        </c:marker>
        <c:dLbl>
          <c:idx val="0"/>
          <c:layout>
            <c:manualLayout>
              <c:x val="-2.4691223104398623E-2"/>
              <c:y val="-8.712387204897541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41275" cap="rnd">
            <a:solidFill>
              <a:srgbClr val="66FBDD">
                <a:alpha val="98000"/>
              </a:srgbClr>
            </a:solidFill>
            <a:round/>
          </a:ln>
          <a:effectLst/>
        </c:spPr>
        <c:marker>
          <c:symbol val="triangle"/>
          <c:size val="13"/>
          <c:spPr>
            <a:solidFill>
              <a:schemeClr val="bg1">
                <a:lumMod val="65000"/>
              </a:schemeClr>
            </a:solidFill>
            <a:ln w="9525">
              <a:noFill/>
            </a:ln>
            <a:effectLst/>
          </c:spPr>
        </c:marker>
        <c:dLbl>
          <c:idx val="0"/>
          <c:layout>
            <c:manualLayout>
              <c:x val="-2.839235657652453E-2"/>
              <c:y val="-6.60156926294503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68633258108519E-2"/>
          <c:y val="0.18562898635032099"/>
          <c:w val="0.91862798093431475"/>
          <c:h val="0.70465501838655398"/>
        </c:manualLayout>
      </c:layout>
      <c:lineChart>
        <c:grouping val="standard"/>
        <c:varyColors val="0"/>
        <c:ser>
          <c:idx val="0"/>
          <c:order val="0"/>
          <c:tx>
            <c:strRef>
              <c:f>Sheet1!$N$4</c:f>
              <c:strCache>
                <c:ptCount val="1"/>
                <c:pt idx="0">
                  <c:v>Total</c:v>
                </c:pt>
              </c:strCache>
            </c:strRef>
          </c:tx>
          <c:spPr>
            <a:ln w="41275" cap="rnd">
              <a:solidFill>
                <a:srgbClr val="66FBDD">
                  <a:alpha val="98000"/>
                </a:srgbClr>
              </a:solidFill>
              <a:round/>
            </a:ln>
            <a:effectLst/>
          </c:spPr>
          <c:marker>
            <c:symbol val="triangle"/>
            <c:size val="13"/>
            <c:spPr>
              <a:solidFill>
                <a:schemeClr val="bg1">
                  <a:lumMod val="65000"/>
                </a:schemeClr>
              </a:solidFill>
              <a:ln w="9525">
                <a:noFill/>
              </a:ln>
              <a:effectLst/>
            </c:spPr>
          </c:marker>
          <c:dPt>
            <c:idx val="0"/>
            <c:marker>
              <c:symbol val="triangle"/>
              <c:size val="13"/>
              <c:spPr>
                <a:solidFill>
                  <a:schemeClr val="bg1">
                    <a:lumMod val="65000"/>
                  </a:schemeClr>
                </a:solidFill>
                <a:ln w="9525">
                  <a:noFill/>
                </a:ln>
                <a:effectLst/>
              </c:spPr>
            </c:marker>
            <c:bubble3D val="0"/>
          </c:dPt>
          <c:dLbls>
            <c:dLbl>
              <c:idx val="0"/>
              <c:layout>
                <c:manualLayout>
                  <c:x val="-3.0242923312587315E-2"/>
                  <c:y val="-8.008781224246705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3175" cap="flat" cmpd="sng" algn="ctr">
                      <a:solidFill>
                        <a:schemeClr val="tx1">
                          <a:lumMod val="35000"/>
                          <a:lumOff val="65000"/>
                        </a:schemeClr>
                      </a:solidFill>
                      <a:round/>
                    </a:ln>
                    <a:effectLst/>
                  </c:spPr>
                </c15:leaderLines>
              </c:ext>
            </c:extLst>
          </c:dLbls>
          <c:trendline>
            <c:spPr>
              <a:ln w="19050" cap="rnd">
                <a:solidFill>
                  <a:schemeClr val="bg1">
                    <a:lumMod val="85000"/>
                  </a:schemeClr>
                </a:solidFill>
                <a:prstDash val="sysDot"/>
              </a:ln>
              <a:effectLst/>
            </c:spPr>
            <c:trendlineType val="linear"/>
            <c:dispRSqr val="0"/>
            <c:dispEq val="0"/>
          </c:trendline>
          <c:cat>
            <c:strRef>
              <c:f>Sheet1!$M$5:$M$8</c:f>
              <c:strCache>
                <c:ptCount val="3"/>
                <c:pt idx="0">
                  <c:v>Apr</c:v>
                </c:pt>
                <c:pt idx="1">
                  <c:v>May</c:v>
                </c:pt>
                <c:pt idx="2">
                  <c:v>Jun</c:v>
                </c:pt>
              </c:strCache>
            </c:strRef>
          </c:cat>
          <c:val>
            <c:numRef>
              <c:f>Sheet1!$N$5:$N$8</c:f>
              <c:numCache>
                <c:formatCode>[&gt;=1000000]"$"0,,"M"\ ;[&gt;=1000]\ "$"0,"K";0\ \ \ \ \ \ \ </c:formatCode>
                <c:ptCount val="3"/>
                <c:pt idx="0">
                  <c:v>721932</c:v>
                </c:pt>
                <c:pt idx="1">
                  <c:v>1025713</c:v>
                </c:pt>
                <c:pt idx="2">
                  <c:v>1338466</c:v>
                </c:pt>
              </c:numCache>
            </c:numRef>
          </c:val>
          <c:smooth val="1"/>
          <c:extLst>
            <c:ext xmlns:c16="http://schemas.microsoft.com/office/drawing/2014/chart" uri="{C3380CC4-5D6E-409C-BE32-E72D297353CC}">
              <c16:uniqueId val="{00000000-147B-41A7-93DB-6AA7E5F27626}"/>
            </c:ext>
          </c:extLst>
        </c:ser>
        <c:dLbls>
          <c:dLblPos val="t"/>
          <c:showLegendKey val="0"/>
          <c:showVal val="1"/>
          <c:showCatName val="0"/>
          <c:showSerName val="0"/>
          <c:showPercent val="0"/>
          <c:showBubbleSize val="0"/>
        </c:dLbls>
        <c:marker val="1"/>
        <c:smooth val="0"/>
        <c:axId val="593910064"/>
        <c:axId val="593911024"/>
      </c:lineChart>
      <c:catAx>
        <c:axId val="59391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593911024"/>
        <c:crosses val="autoZero"/>
        <c:auto val="1"/>
        <c:lblAlgn val="ctr"/>
        <c:lblOffset val="100"/>
        <c:noMultiLvlLbl val="0"/>
      </c:catAx>
      <c:valAx>
        <c:axId val="593911024"/>
        <c:scaling>
          <c:orientation val="minMax"/>
        </c:scaling>
        <c:delete val="0"/>
        <c:axPos val="l"/>
        <c:numFmt formatCode="[&gt;=1000000]&quot;$&quot;0,,&quot;M&quot;\ ;[&gt;=1000]\ &quot;$&quot;0,&quot;K&quot;;0\ \ \ \ \ \ \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59391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[New Microsoft Excel Worksheet.xlsx]Sheet1!PivotTable2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45826"/>
          </a:solidFill>
          <a:ln w="6350" cap="flat" cmpd="sng" algn="ctr">
            <a:solidFill>
              <a:schemeClr val="accent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w="6350" cap="flat" cmpd="sng" algn="ctr">
            <a:solidFill>
              <a:schemeClr val="accent3"/>
            </a:solidFill>
            <a:prstDash val="solid"/>
            <a:miter lim="800000"/>
          </a:ln>
          <a:effectLst/>
        </c:spPr>
      </c:pivotFmt>
      <c:pivotFmt>
        <c:idx val="4"/>
        <c:spPr>
          <a:solidFill>
            <a:srgbClr val="E45826"/>
          </a:solidFill>
          <a:ln w="6350" cap="flat" cmpd="sng" algn="ctr">
            <a:solidFill>
              <a:schemeClr val="accent3"/>
            </a:solidFill>
            <a:prstDash val="solid"/>
            <a:miter lim="800000"/>
          </a:ln>
          <a:effectLst/>
        </c:spPr>
      </c:pivotFmt>
      <c:pivotFmt>
        <c:idx val="5"/>
        <c:spPr>
          <a:solidFill>
            <a:srgbClr val="E45826"/>
          </a:solidFill>
          <a:ln w="6350" cap="flat" cmpd="sng" algn="ctr">
            <a:solidFill>
              <a:schemeClr val="accent3"/>
            </a:solidFill>
            <a:prstDash val="solid"/>
            <a:miter lim="800000"/>
          </a:ln>
          <a:effectLst/>
        </c:spPr>
      </c:pivotFmt>
      <c:pivotFmt>
        <c:idx val="6"/>
        <c:spPr>
          <a:solidFill>
            <a:sysClr val="window" lastClr="FFFFFF">
              <a:lumMod val="85000"/>
            </a:sysClr>
          </a:solidFill>
          <a:ln w="6350" cap="flat" cmpd="sng" algn="ctr">
            <a:solidFill>
              <a:schemeClr val="accent3"/>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ysClr val="window" lastClr="FFFFFF">
              <a:lumMod val="85000"/>
            </a:sysClr>
          </a:solidFill>
          <a:ln w="6350" cap="flat" cmpd="sng" algn="ctr">
            <a:solidFill>
              <a:schemeClr val="accent3"/>
            </a:solidFill>
            <a:prstDash val="solid"/>
            <a:miter lim="800000"/>
          </a:ln>
          <a:effectLst/>
        </c:spPr>
      </c:pivotFmt>
      <c:pivotFmt>
        <c:idx val="8"/>
        <c:spPr>
          <a:solidFill>
            <a:sysClr val="window" lastClr="FFFFFF">
              <a:lumMod val="75000"/>
            </a:sysClr>
          </a:solidFill>
          <a:ln>
            <a:noFill/>
          </a:ln>
          <a:effectLst>
            <a:outerShdw blurRad="50800" dist="50800" dir="5400000" algn="ctr" rotWithShape="0">
              <a:srgbClr val="000000">
                <a:alpha val="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ysClr val="window" lastClr="FFFFFF">
              <a:lumMod val="65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ysClr val="window" lastClr="FFFFFF">
              <a:lumMod val="50000"/>
              <a:alpha val="60000"/>
            </a:sys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plotArea>
      <c:layout>
        <c:manualLayout>
          <c:layoutTarget val="inner"/>
          <c:xMode val="edge"/>
          <c:yMode val="edge"/>
          <c:x val="0.10386471274058298"/>
          <c:y val="0.12342884412175749"/>
          <c:w val="0.83501227440909509"/>
          <c:h val="0.76940011364558814"/>
        </c:manualLayout>
      </c:layout>
      <c:barChart>
        <c:barDir val="bar"/>
        <c:grouping val="clustered"/>
        <c:varyColors val="0"/>
        <c:ser>
          <c:idx val="0"/>
          <c:order val="0"/>
          <c:tx>
            <c:strRef>
              <c:f>Sheet1!$B$9:$B$10</c:f>
              <c:strCache>
                <c:ptCount val="1"/>
                <c:pt idx="0">
                  <c:v>Q-2</c:v>
                </c:pt>
              </c:strCache>
            </c:strRef>
          </c:tx>
          <c:spPr>
            <a:solidFill>
              <a:sysClr val="window" lastClr="FFFFFF">
                <a:lumMod val="65000"/>
              </a:sysClr>
            </a:solidFill>
            <a:ln>
              <a:noFill/>
            </a:ln>
            <a:effectLst/>
          </c:spPr>
          <c:invertIfNegative val="0"/>
          <c:dPt>
            <c:idx val="0"/>
            <c:invertIfNegative val="0"/>
            <c:bubble3D val="0"/>
            <c:extLst>
              <c:ext xmlns:c16="http://schemas.microsoft.com/office/drawing/2014/chart" uri="{C3380CC4-5D6E-409C-BE32-E72D297353CC}">
                <c16:uniqueId val="{00000000-192B-4403-A088-051AC0FDDA7B}"/>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Sheet1!$A$11:$A$13</c:f>
              <c:strCache>
                <c:ptCount val="2"/>
                <c:pt idx="0">
                  <c:v>Lost</c:v>
                </c:pt>
                <c:pt idx="1">
                  <c:v>Won</c:v>
                </c:pt>
              </c:strCache>
            </c:strRef>
          </c:cat>
          <c:val>
            <c:numRef>
              <c:f>Sheet1!$B$11:$B$13</c:f>
              <c:numCache>
                <c:formatCode>0.00%</c:formatCode>
                <c:ptCount val="2"/>
                <c:pt idx="0">
                  <c:v>0.38287401574803148</c:v>
                </c:pt>
                <c:pt idx="1">
                  <c:v>0.61712598425196852</c:v>
                </c:pt>
              </c:numCache>
            </c:numRef>
          </c:val>
          <c:extLst>
            <c:ext xmlns:c16="http://schemas.microsoft.com/office/drawing/2014/chart" uri="{C3380CC4-5D6E-409C-BE32-E72D297353CC}">
              <c16:uniqueId val="{00000000-16BC-42A0-9F9B-66D832AA475F}"/>
            </c:ext>
          </c:extLst>
        </c:ser>
        <c:dLbls>
          <c:dLblPos val="outEnd"/>
          <c:showLegendKey val="0"/>
          <c:showVal val="1"/>
          <c:showCatName val="0"/>
          <c:showSerName val="0"/>
          <c:showPercent val="0"/>
          <c:showBubbleSize val="0"/>
        </c:dLbls>
        <c:gapWidth val="182"/>
        <c:axId val="1256001648"/>
        <c:axId val="1256002128"/>
      </c:barChart>
      <c:catAx>
        <c:axId val="1256001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2128"/>
        <c:crosses val="autoZero"/>
        <c:auto val="1"/>
        <c:lblAlgn val="ctr"/>
        <c:lblOffset val="100"/>
        <c:noMultiLvlLbl val="0"/>
      </c:catAx>
      <c:valAx>
        <c:axId val="12560021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crossAx val="12560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bg1">
                  <a:lumMod val="7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812446</xdr:colOff>
      <xdr:row>40</xdr:row>
      <xdr:rowOff>66671</xdr:rowOff>
    </xdr:from>
    <xdr:to>
      <xdr:col>2</xdr:col>
      <xdr:colOff>91026</xdr:colOff>
      <xdr:row>57</xdr:row>
      <xdr:rowOff>27353</xdr:rowOff>
    </xdr:to>
    <xdr:sp macro="" textlink="">
      <xdr:nvSpPr>
        <xdr:cNvPr id="31" name="Rectangle: Rounded Corners 30">
          <a:extLst>
            <a:ext uri="{FF2B5EF4-FFF2-40B4-BE49-F238E27FC236}">
              <a16:creationId xmlns:a16="http://schemas.microsoft.com/office/drawing/2014/main" id="{76D94EF3-F8F2-4B95-932B-E10F8B04872D}"/>
            </a:ext>
          </a:extLst>
        </xdr:cNvPr>
        <xdr:cNvSpPr/>
      </xdr:nvSpPr>
      <xdr:spPr>
        <a:xfrm rot="2517093">
          <a:off x="1126771" y="7200896"/>
          <a:ext cx="393005" cy="3037257"/>
        </a:xfrm>
        <a:prstGeom prst="roundRect">
          <a:avLst/>
        </a:prstGeom>
        <a:solidFill>
          <a:srgbClr val="66FBDD">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650520</xdr:colOff>
      <xdr:row>35</xdr:row>
      <xdr:rowOff>180971</xdr:rowOff>
    </xdr:from>
    <xdr:to>
      <xdr:col>1</xdr:col>
      <xdr:colOff>1043525</xdr:colOff>
      <xdr:row>52</xdr:row>
      <xdr:rowOff>141653</xdr:rowOff>
    </xdr:to>
    <xdr:sp macro="" textlink="">
      <xdr:nvSpPr>
        <xdr:cNvPr id="32" name="Rectangle: Rounded Corners 31">
          <a:extLst>
            <a:ext uri="{FF2B5EF4-FFF2-40B4-BE49-F238E27FC236}">
              <a16:creationId xmlns:a16="http://schemas.microsoft.com/office/drawing/2014/main" id="{8D963A63-5CFE-4F8B-90DE-91FFDEA0E025}"/>
            </a:ext>
          </a:extLst>
        </xdr:cNvPr>
        <xdr:cNvSpPr/>
      </xdr:nvSpPr>
      <xdr:spPr>
        <a:xfrm rot="2517093">
          <a:off x="964845" y="6410321"/>
          <a:ext cx="393005" cy="3037257"/>
        </a:xfrm>
        <a:prstGeom prst="roundRect">
          <a:avLst/>
        </a:prstGeom>
        <a:solidFill>
          <a:srgbClr val="66FBDD">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4968809</xdr:colOff>
      <xdr:row>26</xdr:row>
      <xdr:rowOff>161922</xdr:rowOff>
    </xdr:from>
    <xdr:to>
      <xdr:col>35</xdr:col>
      <xdr:colOff>5361814</xdr:colOff>
      <xdr:row>43</xdr:row>
      <xdr:rowOff>122604</xdr:rowOff>
    </xdr:to>
    <xdr:sp macro="" textlink="">
      <xdr:nvSpPr>
        <xdr:cNvPr id="30" name="Rectangle: Rounded Corners 29">
          <a:extLst>
            <a:ext uri="{FF2B5EF4-FFF2-40B4-BE49-F238E27FC236}">
              <a16:creationId xmlns:a16="http://schemas.microsoft.com/office/drawing/2014/main" id="{6C2BFEFD-C658-42E2-98E3-B94395B3427D}"/>
            </a:ext>
          </a:extLst>
        </xdr:cNvPr>
        <xdr:cNvSpPr/>
      </xdr:nvSpPr>
      <xdr:spPr>
        <a:xfrm rot="2517093">
          <a:off x="27809759" y="4762497"/>
          <a:ext cx="393005" cy="3037257"/>
        </a:xfrm>
        <a:prstGeom prst="roundRect">
          <a:avLst/>
        </a:prstGeom>
        <a:solidFill>
          <a:srgbClr val="66FBDD">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4673535</xdr:colOff>
      <xdr:row>23</xdr:row>
      <xdr:rowOff>123823</xdr:rowOff>
    </xdr:from>
    <xdr:to>
      <xdr:col>35</xdr:col>
      <xdr:colOff>5066540</xdr:colOff>
      <xdr:row>40</xdr:row>
      <xdr:rowOff>84505</xdr:rowOff>
    </xdr:to>
    <xdr:sp macro="" textlink="">
      <xdr:nvSpPr>
        <xdr:cNvPr id="28" name="Rectangle: Rounded Corners 27">
          <a:extLst>
            <a:ext uri="{FF2B5EF4-FFF2-40B4-BE49-F238E27FC236}">
              <a16:creationId xmlns:a16="http://schemas.microsoft.com/office/drawing/2014/main" id="{EA128A5C-2E2E-2148-E0EF-E1748A372BF2}"/>
            </a:ext>
          </a:extLst>
        </xdr:cNvPr>
        <xdr:cNvSpPr/>
      </xdr:nvSpPr>
      <xdr:spPr>
        <a:xfrm rot="2517093">
          <a:off x="27514485" y="4181473"/>
          <a:ext cx="393005" cy="3037257"/>
        </a:xfrm>
        <a:prstGeom prst="roundRect">
          <a:avLst/>
        </a:prstGeom>
        <a:solidFill>
          <a:srgbClr val="66FBDD">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380999</xdr:colOff>
      <xdr:row>0</xdr:row>
      <xdr:rowOff>419100</xdr:rowOff>
    </xdr:from>
    <xdr:to>
      <xdr:col>35</xdr:col>
      <xdr:colOff>5267325</xdr:colOff>
      <xdr:row>70</xdr:row>
      <xdr:rowOff>171450</xdr:rowOff>
    </xdr:to>
    <xdr:sp macro="" textlink="">
      <xdr:nvSpPr>
        <xdr:cNvPr id="9" name="Rectangle: Diagonal Corners Rounded 8">
          <a:extLst>
            <a:ext uri="{FF2B5EF4-FFF2-40B4-BE49-F238E27FC236}">
              <a16:creationId xmlns:a16="http://schemas.microsoft.com/office/drawing/2014/main" id="{B3B04FAA-213A-4BCA-A58E-A52D5250DD78}"/>
            </a:ext>
          </a:extLst>
        </xdr:cNvPr>
        <xdr:cNvSpPr/>
      </xdr:nvSpPr>
      <xdr:spPr>
        <a:xfrm>
          <a:off x="695324" y="419100"/>
          <a:ext cx="27412951" cy="12315825"/>
        </a:xfrm>
        <a:prstGeom prst="round2DiagRect">
          <a:avLst>
            <a:gd name="adj1" fmla="val 5522"/>
            <a:gd name="adj2" fmla="val 5139"/>
          </a:avLst>
        </a:prstGeom>
        <a:solidFill>
          <a:schemeClr val="bg2">
            <a:lumMod val="10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85000"/>
                <a:lumOff val="15000"/>
              </a:schemeClr>
            </a:solidFill>
          </a:endParaRPr>
        </a:p>
      </xdr:txBody>
    </xdr:sp>
    <xdr:clientData/>
  </xdr:twoCellAnchor>
  <xdr:twoCellAnchor>
    <xdr:from>
      <xdr:col>7</xdr:col>
      <xdr:colOff>264894</xdr:colOff>
      <xdr:row>10</xdr:row>
      <xdr:rowOff>151124</xdr:rowOff>
    </xdr:from>
    <xdr:to>
      <xdr:col>11</xdr:col>
      <xdr:colOff>622007</xdr:colOff>
      <xdr:row>19</xdr:row>
      <xdr:rowOff>171450</xdr:rowOff>
    </xdr:to>
    <xdr:sp macro="" textlink="">
      <xdr:nvSpPr>
        <xdr:cNvPr id="37" name="Rectangle: Rounded Corners 36">
          <a:extLst>
            <a:ext uri="{FF2B5EF4-FFF2-40B4-BE49-F238E27FC236}">
              <a16:creationId xmlns:a16="http://schemas.microsoft.com/office/drawing/2014/main" id="{72BE4FB1-4891-4776-8257-BDC2DF5B134B}"/>
            </a:ext>
          </a:extLst>
        </xdr:cNvPr>
        <xdr:cNvSpPr/>
      </xdr:nvSpPr>
      <xdr:spPr>
        <a:xfrm>
          <a:off x="4884519" y="1856099"/>
          <a:ext cx="2909813" cy="1649101"/>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12</xdr:col>
      <xdr:colOff>521177</xdr:colOff>
      <xdr:row>10</xdr:row>
      <xdr:rowOff>151124</xdr:rowOff>
    </xdr:from>
    <xdr:to>
      <xdr:col>17</xdr:col>
      <xdr:colOff>240117</xdr:colOff>
      <xdr:row>19</xdr:row>
      <xdr:rowOff>152400</xdr:rowOff>
    </xdr:to>
    <xdr:sp macro="" textlink="">
      <xdr:nvSpPr>
        <xdr:cNvPr id="38" name="Rectangle: Rounded Corners 37">
          <a:extLst>
            <a:ext uri="{FF2B5EF4-FFF2-40B4-BE49-F238E27FC236}">
              <a16:creationId xmlns:a16="http://schemas.microsoft.com/office/drawing/2014/main" id="{EAAD400F-9699-47CC-9CAD-EC96450017D9}"/>
            </a:ext>
          </a:extLst>
        </xdr:cNvPr>
        <xdr:cNvSpPr/>
      </xdr:nvSpPr>
      <xdr:spPr>
        <a:xfrm>
          <a:off x="8331677" y="1856099"/>
          <a:ext cx="2909815" cy="1630051"/>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17</xdr:col>
      <xdr:colOff>777462</xdr:colOff>
      <xdr:row>10</xdr:row>
      <xdr:rowOff>151124</xdr:rowOff>
    </xdr:from>
    <xdr:to>
      <xdr:col>22</xdr:col>
      <xdr:colOff>145160</xdr:colOff>
      <xdr:row>19</xdr:row>
      <xdr:rowOff>171450</xdr:rowOff>
    </xdr:to>
    <xdr:sp macro="" textlink="">
      <xdr:nvSpPr>
        <xdr:cNvPr id="39" name="Rectangle: Rounded Corners 38">
          <a:extLst>
            <a:ext uri="{FF2B5EF4-FFF2-40B4-BE49-F238E27FC236}">
              <a16:creationId xmlns:a16="http://schemas.microsoft.com/office/drawing/2014/main" id="{70368242-7BF6-4A5D-AE7D-895AA8795FE3}"/>
            </a:ext>
          </a:extLst>
        </xdr:cNvPr>
        <xdr:cNvSpPr/>
      </xdr:nvSpPr>
      <xdr:spPr>
        <a:xfrm>
          <a:off x="11778837" y="1856099"/>
          <a:ext cx="2910998" cy="1649101"/>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xdr:col>
      <xdr:colOff>971550</xdr:colOff>
      <xdr:row>23</xdr:row>
      <xdr:rowOff>137273</xdr:rowOff>
    </xdr:from>
    <xdr:to>
      <xdr:col>10</xdr:col>
      <xdr:colOff>76200</xdr:colOff>
      <xdr:row>45</xdr:row>
      <xdr:rowOff>104775</xdr:rowOff>
    </xdr:to>
    <xdr:sp macro="" textlink="">
      <xdr:nvSpPr>
        <xdr:cNvPr id="40" name="Rectangle: Rounded Corners 39">
          <a:extLst>
            <a:ext uri="{FF2B5EF4-FFF2-40B4-BE49-F238E27FC236}">
              <a16:creationId xmlns:a16="http://schemas.microsoft.com/office/drawing/2014/main" id="{D32B760A-4028-4100-88C7-87984D41C048}"/>
            </a:ext>
          </a:extLst>
        </xdr:cNvPr>
        <xdr:cNvSpPr/>
      </xdr:nvSpPr>
      <xdr:spPr>
        <a:xfrm>
          <a:off x="1285875" y="4194923"/>
          <a:ext cx="5324475" cy="3948952"/>
        </a:xfrm>
        <a:prstGeom prst="roundRect">
          <a:avLst>
            <a:gd name="adj" fmla="val 11854"/>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1</xdr:col>
      <xdr:colOff>1000124</xdr:colOff>
      <xdr:row>46</xdr:row>
      <xdr:rowOff>123826</xdr:rowOff>
    </xdr:from>
    <xdr:to>
      <xdr:col>21</xdr:col>
      <xdr:colOff>352425</xdr:colOff>
      <xdr:row>68</xdr:row>
      <xdr:rowOff>104776</xdr:rowOff>
    </xdr:to>
    <xdr:sp macro="" textlink="">
      <xdr:nvSpPr>
        <xdr:cNvPr id="41" name="Rectangle: Rounded Corners 40">
          <a:extLst>
            <a:ext uri="{FF2B5EF4-FFF2-40B4-BE49-F238E27FC236}">
              <a16:creationId xmlns:a16="http://schemas.microsoft.com/office/drawing/2014/main" id="{1C3D0DD1-1E05-4952-B512-21134456ED8D}"/>
            </a:ext>
          </a:extLst>
        </xdr:cNvPr>
        <xdr:cNvSpPr/>
      </xdr:nvSpPr>
      <xdr:spPr>
        <a:xfrm>
          <a:off x="1314449" y="8343901"/>
          <a:ext cx="12944476" cy="3962400"/>
        </a:xfrm>
        <a:prstGeom prst="roundRect">
          <a:avLst>
            <a:gd name="adj" fmla="val 10743"/>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28</xdr:col>
      <xdr:colOff>301800</xdr:colOff>
      <xdr:row>10</xdr:row>
      <xdr:rowOff>151124</xdr:rowOff>
    </xdr:from>
    <xdr:to>
      <xdr:col>33</xdr:col>
      <xdr:colOff>18373</xdr:colOff>
      <xdr:row>19</xdr:row>
      <xdr:rowOff>142875</xdr:rowOff>
    </xdr:to>
    <xdr:sp macro="" textlink="">
      <xdr:nvSpPr>
        <xdr:cNvPr id="44" name="Rectangle: Rounded Corners 43">
          <a:extLst>
            <a:ext uri="{FF2B5EF4-FFF2-40B4-BE49-F238E27FC236}">
              <a16:creationId xmlns:a16="http://schemas.microsoft.com/office/drawing/2014/main" id="{FE178859-C399-098D-51BD-7FECA13354F4}"/>
            </a:ext>
          </a:extLst>
        </xdr:cNvPr>
        <xdr:cNvSpPr/>
      </xdr:nvSpPr>
      <xdr:spPr>
        <a:xfrm>
          <a:off x="18675525" y="1856099"/>
          <a:ext cx="2907448" cy="1620526"/>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21</xdr:col>
      <xdr:colOff>619125</xdr:colOff>
      <xdr:row>46</xdr:row>
      <xdr:rowOff>142878</xdr:rowOff>
    </xdr:from>
    <xdr:to>
      <xdr:col>35</xdr:col>
      <xdr:colOff>4867275</xdr:colOff>
      <xdr:row>68</xdr:row>
      <xdr:rowOff>104776</xdr:rowOff>
    </xdr:to>
    <xdr:sp macro="" textlink="">
      <xdr:nvSpPr>
        <xdr:cNvPr id="47" name="Rectangle: Rounded Corners 46">
          <a:extLst>
            <a:ext uri="{FF2B5EF4-FFF2-40B4-BE49-F238E27FC236}">
              <a16:creationId xmlns:a16="http://schemas.microsoft.com/office/drawing/2014/main" id="{4591AA70-18C3-4B3D-96D5-1B86513F24BE}"/>
            </a:ext>
          </a:extLst>
        </xdr:cNvPr>
        <xdr:cNvSpPr/>
      </xdr:nvSpPr>
      <xdr:spPr>
        <a:xfrm>
          <a:off x="14525625" y="8362953"/>
          <a:ext cx="13182600" cy="3943348"/>
        </a:xfrm>
        <a:prstGeom prst="roundRect">
          <a:avLst>
            <a:gd name="adj" fmla="val 11854"/>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22</xdr:col>
      <xdr:colOff>9524</xdr:colOff>
      <xdr:row>23</xdr:row>
      <xdr:rowOff>104776</xdr:rowOff>
    </xdr:from>
    <xdr:to>
      <xdr:col>35</xdr:col>
      <xdr:colOff>4743450</xdr:colOff>
      <xdr:row>46</xdr:row>
      <xdr:rowOff>28575</xdr:rowOff>
    </xdr:to>
    <xdr:sp macro="" textlink="">
      <xdr:nvSpPr>
        <xdr:cNvPr id="48" name="Rectangle: Rounded Corners 47">
          <a:extLst>
            <a:ext uri="{FF2B5EF4-FFF2-40B4-BE49-F238E27FC236}">
              <a16:creationId xmlns:a16="http://schemas.microsoft.com/office/drawing/2014/main" id="{382C3379-EFCB-4A7C-8723-A9EC2F0C11BC}"/>
            </a:ext>
          </a:extLst>
        </xdr:cNvPr>
        <xdr:cNvSpPr/>
      </xdr:nvSpPr>
      <xdr:spPr>
        <a:xfrm>
          <a:off x="14554199" y="4162426"/>
          <a:ext cx="13030201" cy="4086224"/>
        </a:xfrm>
        <a:prstGeom prst="roundRect">
          <a:avLst>
            <a:gd name="adj" fmla="val 11854"/>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29</xdr:col>
      <xdr:colOff>200025</xdr:colOff>
      <xdr:row>11</xdr:row>
      <xdr:rowOff>57150</xdr:rowOff>
    </xdr:from>
    <xdr:to>
      <xdr:col>32</xdr:col>
      <xdr:colOff>257175</xdr:colOff>
      <xdr:row>14</xdr:row>
      <xdr:rowOff>66675</xdr:rowOff>
    </xdr:to>
    <xdr:sp macro="" textlink="">
      <xdr:nvSpPr>
        <xdr:cNvPr id="51" name="TextBox 50">
          <a:extLst>
            <a:ext uri="{FF2B5EF4-FFF2-40B4-BE49-F238E27FC236}">
              <a16:creationId xmlns:a16="http://schemas.microsoft.com/office/drawing/2014/main" id="{3C131764-EF1A-42F2-BDD4-7DA9CBDF46EA}"/>
            </a:ext>
          </a:extLst>
        </xdr:cNvPr>
        <xdr:cNvSpPr txBox="1"/>
      </xdr:nvSpPr>
      <xdr:spPr>
        <a:xfrm>
          <a:off x="19211925" y="1943100"/>
          <a:ext cx="19716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0" i="0" u="none" strike="noStrike">
              <a:solidFill>
                <a:schemeClr val="bg1">
                  <a:lumMod val="85000"/>
                </a:schemeClr>
              </a:solidFill>
              <a:latin typeface="Calibri"/>
              <a:ea typeface="Calibri"/>
              <a:cs typeface="Calibri"/>
            </a:rPr>
            <a:t>Total Opp</a:t>
          </a:r>
        </a:p>
      </xdr:txBody>
    </xdr:sp>
    <xdr:clientData/>
  </xdr:twoCellAnchor>
  <xdr:twoCellAnchor>
    <xdr:from>
      <xdr:col>8</xdr:col>
      <xdr:colOff>571500</xdr:colOff>
      <xdr:row>11</xdr:row>
      <xdr:rowOff>142875</xdr:rowOff>
    </xdr:from>
    <xdr:to>
      <xdr:col>12</xdr:col>
      <xdr:colOff>64925</xdr:colOff>
      <xdr:row>14</xdr:row>
      <xdr:rowOff>47625</xdr:rowOff>
    </xdr:to>
    <xdr:sp macro="" textlink="">
      <xdr:nvSpPr>
        <xdr:cNvPr id="52" name="TextBox 51">
          <a:extLst>
            <a:ext uri="{FF2B5EF4-FFF2-40B4-BE49-F238E27FC236}">
              <a16:creationId xmlns:a16="http://schemas.microsoft.com/office/drawing/2014/main" id="{53B11AEE-BFA1-41B3-BE2A-E36B917A9967}"/>
            </a:ext>
          </a:extLst>
        </xdr:cNvPr>
        <xdr:cNvSpPr txBox="1"/>
      </xdr:nvSpPr>
      <xdr:spPr>
        <a:xfrm>
          <a:off x="5829300" y="2028825"/>
          <a:ext cx="20461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Won</a:t>
          </a:r>
          <a:endParaRPr lang="en-US" sz="1800" b="1">
            <a:solidFill>
              <a:schemeClr val="bg1">
                <a:lumMod val="85000"/>
              </a:schemeClr>
            </a:solidFill>
          </a:endParaRPr>
        </a:p>
      </xdr:txBody>
    </xdr:sp>
    <xdr:clientData/>
  </xdr:twoCellAnchor>
  <xdr:twoCellAnchor>
    <xdr:from>
      <xdr:col>14</xdr:col>
      <xdr:colOff>381001</xdr:colOff>
      <xdr:row>11</xdr:row>
      <xdr:rowOff>142875</xdr:rowOff>
    </xdr:from>
    <xdr:to>
      <xdr:col>17</xdr:col>
      <xdr:colOff>247650</xdr:colOff>
      <xdr:row>14</xdr:row>
      <xdr:rowOff>38100</xdr:rowOff>
    </xdr:to>
    <xdr:sp macro="" textlink="">
      <xdr:nvSpPr>
        <xdr:cNvPr id="53" name="TextBox 52">
          <a:extLst>
            <a:ext uri="{FF2B5EF4-FFF2-40B4-BE49-F238E27FC236}">
              <a16:creationId xmlns:a16="http://schemas.microsoft.com/office/drawing/2014/main" id="{4199CCA3-FA5C-4AFD-92A5-CE74C9AF0049}"/>
            </a:ext>
          </a:extLst>
        </xdr:cNvPr>
        <xdr:cNvSpPr txBox="1"/>
      </xdr:nvSpPr>
      <xdr:spPr>
        <a:xfrm>
          <a:off x="9467851" y="2028825"/>
          <a:ext cx="17811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Lost</a:t>
          </a:r>
          <a:r>
            <a:rPr lang="en-US" sz="2400" b="1">
              <a:solidFill>
                <a:schemeClr val="bg1">
                  <a:lumMod val="75000"/>
                </a:schemeClr>
              </a:solidFill>
            </a:rPr>
            <a:t> 	</a:t>
          </a:r>
          <a:endParaRPr lang="en-US" sz="2000" b="1">
            <a:solidFill>
              <a:schemeClr val="bg1">
                <a:lumMod val="75000"/>
              </a:schemeClr>
            </a:solidFill>
          </a:endParaRPr>
        </a:p>
      </xdr:txBody>
    </xdr:sp>
    <xdr:clientData/>
  </xdr:twoCellAnchor>
  <xdr:twoCellAnchor>
    <xdr:from>
      <xdr:col>18</xdr:col>
      <xdr:colOff>295275</xdr:colOff>
      <xdr:row>11</xdr:row>
      <xdr:rowOff>76200</xdr:rowOff>
    </xdr:from>
    <xdr:to>
      <xdr:col>21</xdr:col>
      <xdr:colOff>426875</xdr:colOff>
      <xdr:row>13</xdr:row>
      <xdr:rowOff>171450</xdr:rowOff>
    </xdr:to>
    <xdr:sp macro="" textlink="">
      <xdr:nvSpPr>
        <xdr:cNvPr id="54" name="TextBox 53">
          <a:extLst>
            <a:ext uri="{FF2B5EF4-FFF2-40B4-BE49-F238E27FC236}">
              <a16:creationId xmlns:a16="http://schemas.microsoft.com/office/drawing/2014/main" id="{66647723-013A-4420-BB80-C324C89FE8B6}"/>
            </a:ext>
          </a:extLst>
        </xdr:cNvPr>
        <xdr:cNvSpPr txBox="1"/>
      </xdr:nvSpPr>
      <xdr:spPr>
        <a:xfrm>
          <a:off x="12287250" y="1962150"/>
          <a:ext cx="20461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800" b="0" i="0" u="none" strike="noStrike">
              <a:solidFill>
                <a:schemeClr val="bg1">
                  <a:lumMod val="85000"/>
                </a:schemeClr>
              </a:solidFill>
              <a:latin typeface="Calibri"/>
              <a:ea typeface="Calibri"/>
              <a:cs typeface="Calibri"/>
            </a:rPr>
            <a:t>Prospecting</a:t>
          </a:r>
        </a:p>
      </xdr:txBody>
    </xdr:sp>
    <xdr:clientData/>
  </xdr:twoCellAnchor>
  <xdr:twoCellAnchor>
    <xdr:from>
      <xdr:col>1</xdr:col>
      <xdr:colOff>1019174</xdr:colOff>
      <xdr:row>5</xdr:row>
      <xdr:rowOff>257175</xdr:rowOff>
    </xdr:from>
    <xdr:to>
      <xdr:col>15</xdr:col>
      <xdr:colOff>342900</xdr:colOff>
      <xdr:row>10</xdr:row>
      <xdr:rowOff>85725</xdr:rowOff>
    </xdr:to>
    <xdr:sp macro="" textlink="">
      <xdr:nvSpPr>
        <xdr:cNvPr id="60" name="TextBox 59">
          <a:extLst>
            <a:ext uri="{FF2B5EF4-FFF2-40B4-BE49-F238E27FC236}">
              <a16:creationId xmlns:a16="http://schemas.microsoft.com/office/drawing/2014/main" id="{792C9C26-F70C-4E5D-9BED-41B63123BE3F}"/>
            </a:ext>
          </a:extLst>
        </xdr:cNvPr>
        <xdr:cNvSpPr txBox="1"/>
      </xdr:nvSpPr>
      <xdr:spPr>
        <a:xfrm>
          <a:off x="1333499" y="733425"/>
          <a:ext cx="8734426" cy="1057275"/>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600" b="1">
              <a:solidFill>
                <a:srgbClr val="66FBDD"/>
              </a:solidFill>
            </a:rPr>
            <a:t>CRM Sales Dashboard</a:t>
          </a:r>
        </a:p>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bg1">
                  <a:lumMod val="50000"/>
                </a:schemeClr>
              </a:solidFill>
            </a:rPr>
            <a:t>Managing customer relationships and tracking sales performance effectively</a:t>
          </a:r>
        </a:p>
        <a:p>
          <a:pPr marL="0" marR="0" lvl="0" indent="0" defTabSz="914400" eaLnBrk="1" fontAlgn="auto" latinLnBrk="0" hangingPunct="1">
            <a:lnSpc>
              <a:spcPct val="100000"/>
            </a:lnSpc>
            <a:spcBef>
              <a:spcPts val="0"/>
            </a:spcBef>
            <a:spcAft>
              <a:spcPts val="0"/>
            </a:spcAft>
            <a:buClrTx/>
            <a:buSzTx/>
            <a:buFontTx/>
            <a:buNone/>
            <a:tabLst/>
            <a:defRPr/>
          </a:pPr>
          <a:endParaRPr lang="en-US" sz="3200">
            <a:solidFill>
              <a:schemeClr val="bg1">
                <a:lumMod val="75000"/>
              </a:schemeClr>
            </a:solidFill>
            <a:effectLst/>
          </a:endParaRPr>
        </a:p>
      </xdr:txBody>
    </xdr:sp>
    <xdr:clientData/>
  </xdr:twoCellAnchor>
  <xdr:twoCellAnchor>
    <xdr:from>
      <xdr:col>2</xdr:col>
      <xdr:colOff>38101</xdr:colOff>
      <xdr:row>50</xdr:row>
      <xdr:rowOff>85726</xdr:rowOff>
    </xdr:from>
    <xdr:to>
      <xdr:col>19</xdr:col>
      <xdr:colOff>114300</xdr:colOff>
      <xdr:row>68</xdr:row>
      <xdr:rowOff>47626</xdr:rowOff>
    </xdr:to>
    <xdr:graphicFrame macro="">
      <xdr:nvGraphicFramePr>
        <xdr:cNvPr id="63" name="Chart 62">
          <a:extLst>
            <a:ext uri="{FF2B5EF4-FFF2-40B4-BE49-F238E27FC236}">
              <a16:creationId xmlns:a16="http://schemas.microsoft.com/office/drawing/2014/main" id="{1475FC32-1DE2-4C5A-9857-C5D911ED5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257175</xdr:colOff>
      <xdr:row>47</xdr:row>
      <xdr:rowOff>85725</xdr:rowOff>
    </xdr:from>
    <xdr:to>
      <xdr:col>16</xdr:col>
      <xdr:colOff>57150</xdr:colOff>
      <xdr:row>49</xdr:row>
      <xdr:rowOff>152400</xdr:rowOff>
    </xdr:to>
    <xdr:sp macro="" textlink="">
      <xdr:nvSpPr>
        <xdr:cNvPr id="66" name="TextBox 65">
          <a:extLst>
            <a:ext uri="{FF2B5EF4-FFF2-40B4-BE49-F238E27FC236}">
              <a16:creationId xmlns:a16="http://schemas.microsoft.com/office/drawing/2014/main" id="{5188BB0C-7537-4336-B673-9E20B3225A53}"/>
            </a:ext>
          </a:extLst>
        </xdr:cNvPr>
        <xdr:cNvSpPr txBox="1"/>
      </xdr:nvSpPr>
      <xdr:spPr>
        <a:xfrm>
          <a:off x="4876800" y="8486775"/>
          <a:ext cx="55435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75000"/>
                </a:schemeClr>
              </a:solidFill>
            </a:rPr>
            <a:t>Top 5 Sales </a:t>
          </a:r>
          <a:r>
            <a:rPr lang="en-US" sz="2400" b="1">
              <a:solidFill>
                <a:schemeClr val="bg1">
                  <a:lumMod val="85000"/>
                </a:schemeClr>
              </a:solidFill>
              <a:latin typeface="+mn-lt"/>
              <a:ea typeface="+mn-ea"/>
              <a:cs typeface="+mn-cs"/>
            </a:rPr>
            <a:t>Agents</a:t>
          </a:r>
          <a:r>
            <a:rPr lang="en-US" sz="2400" b="1">
              <a:solidFill>
                <a:schemeClr val="bg1">
                  <a:lumMod val="75000"/>
                </a:schemeClr>
              </a:solidFill>
            </a:rPr>
            <a:t> – Deals Won</a:t>
          </a:r>
        </a:p>
      </xdr:txBody>
    </xdr:sp>
    <xdr:clientData/>
  </xdr:twoCellAnchor>
  <xdr:twoCellAnchor>
    <xdr:from>
      <xdr:col>21</xdr:col>
      <xdr:colOff>590550</xdr:colOff>
      <xdr:row>50</xdr:row>
      <xdr:rowOff>47624</xdr:rowOff>
    </xdr:from>
    <xdr:to>
      <xdr:col>35</xdr:col>
      <xdr:colOff>3590924</xdr:colOff>
      <xdr:row>67</xdr:row>
      <xdr:rowOff>66674</xdr:rowOff>
    </xdr:to>
    <xdr:graphicFrame macro="">
      <xdr:nvGraphicFramePr>
        <xdr:cNvPr id="2" name="Chart 1">
          <a:extLst>
            <a:ext uri="{FF2B5EF4-FFF2-40B4-BE49-F238E27FC236}">
              <a16:creationId xmlns:a16="http://schemas.microsoft.com/office/drawing/2014/main" id="{EC92BA9A-A134-4706-843C-E0AEB3082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438150</xdr:colOff>
      <xdr:row>47</xdr:row>
      <xdr:rowOff>76200</xdr:rowOff>
    </xdr:from>
    <xdr:to>
      <xdr:col>35</xdr:col>
      <xdr:colOff>876300</xdr:colOff>
      <xdr:row>49</xdr:row>
      <xdr:rowOff>142875</xdr:rowOff>
    </xdr:to>
    <xdr:sp macro="" textlink="">
      <xdr:nvSpPr>
        <xdr:cNvPr id="3" name="TextBox 2">
          <a:extLst>
            <a:ext uri="{FF2B5EF4-FFF2-40B4-BE49-F238E27FC236}">
              <a16:creationId xmlns:a16="http://schemas.microsoft.com/office/drawing/2014/main" id="{A5D1E6C3-4554-4B9A-AE48-06282CC01E8E}"/>
            </a:ext>
          </a:extLst>
        </xdr:cNvPr>
        <xdr:cNvSpPr txBox="1"/>
      </xdr:nvSpPr>
      <xdr:spPr>
        <a:xfrm>
          <a:off x="18173700" y="8477250"/>
          <a:ext cx="55435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latin typeface="+mn-lt"/>
              <a:ea typeface="+mn-ea"/>
              <a:cs typeface="+mn-cs"/>
            </a:rPr>
            <a:t>Top 5 Sales Manager – Deals Won</a:t>
          </a:r>
        </a:p>
      </xdr:txBody>
    </xdr:sp>
    <xdr:clientData/>
  </xdr:twoCellAnchor>
  <xdr:twoCellAnchor>
    <xdr:from>
      <xdr:col>2</xdr:col>
      <xdr:colOff>333375</xdr:colOff>
      <xdr:row>24</xdr:row>
      <xdr:rowOff>38100</xdr:rowOff>
    </xdr:from>
    <xdr:to>
      <xdr:col>11</xdr:col>
      <xdr:colOff>19050</xdr:colOff>
      <xdr:row>44</xdr:row>
      <xdr:rowOff>76200</xdr:rowOff>
    </xdr:to>
    <xdr:graphicFrame macro="">
      <xdr:nvGraphicFramePr>
        <xdr:cNvPr id="4" name="Chart 3">
          <a:extLst>
            <a:ext uri="{FF2B5EF4-FFF2-40B4-BE49-F238E27FC236}">
              <a16:creationId xmlns:a16="http://schemas.microsoft.com/office/drawing/2014/main" id="{8D0C5FA5-C401-464A-8112-E4417BB49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24</xdr:row>
      <xdr:rowOff>66675</xdr:rowOff>
    </xdr:from>
    <xdr:to>
      <xdr:col>10</xdr:col>
      <xdr:colOff>552450</xdr:colOff>
      <xdr:row>26</xdr:row>
      <xdr:rowOff>133350</xdr:rowOff>
    </xdr:to>
    <xdr:sp macro="" textlink="">
      <xdr:nvSpPr>
        <xdr:cNvPr id="5" name="TextBox 4">
          <a:extLst>
            <a:ext uri="{FF2B5EF4-FFF2-40B4-BE49-F238E27FC236}">
              <a16:creationId xmlns:a16="http://schemas.microsoft.com/office/drawing/2014/main" id="{C195F9DB-F2F7-40A4-9C58-8DE69713C88A}"/>
            </a:ext>
          </a:extLst>
        </xdr:cNvPr>
        <xdr:cNvSpPr txBox="1"/>
      </xdr:nvSpPr>
      <xdr:spPr>
        <a:xfrm>
          <a:off x="1543050" y="4305300"/>
          <a:ext cx="55435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latin typeface="+mn-lt"/>
              <a:ea typeface="+mn-ea"/>
              <a:cs typeface="+mn-cs"/>
            </a:rPr>
            <a:t>Deal_Stage by Percentage</a:t>
          </a:r>
        </a:p>
      </xdr:txBody>
    </xdr:sp>
    <xdr:clientData/>
  </xdr:twoCellAnchor>
  <xdr:twoCellAnchor>
    <xdr:from>
      <xdr:col>10</xdr:col>
      <xdr:colOff>266699</xdr:colOff>
      <xdr:row>23</xdr:row>
      <xdr:rowOff>156323</xdr:rowOff>
    </xdr:from>
    <xdr:to>
      <xdr:col>21</xdr:col>
      <xdr:colOff>380999</xdr:colOff>
      <xdr:row>45</xdr:row>
      <xdr:rowOff>118223</xdr:rowOff>
    </xdr:to>
    <xdr:sp macro="" textlink="">
      <xdr:nvSpPr>
        <xdr:cNvPr id="6" name="Rectangle: Rounded Corners 5">
          <a:extLst>
            <a:ext uri="{FF2B5EF4-FFF2-40B4-BE49-F238E27FC236}">
              <a16:creationId xmlns:a16="http://schemas.microsoft.com/office/drawing/2014/main" id="{F4634141-C5A7-4D54-BE55-3269B6A21614}"/>
            </a:ext>
          </a:extLst>
        </xdr:cNvPr>
        <xdr:cNvSpPr/>
      </xdr:nvSpPr>
      <xdr:spPr>
        <a:xfrm>
          <a:off x="6800849" y="4213973"/>
          <a:ext cx="7486650" cy="3943350"/>
        </a:xfrm>
        <a:prstGeom prst="roundRect">
          <a:avLst>
            <a:gd name="adj" fmla="val 11854"/>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8</xdr:col>
      <xdr:colOff>142875</xdr:colOff>
      <xdr:row>14</xdr:row>
      <xdr:rowOff>57150</xdr:rowOff>
    </xdr:from>
    <xdr:to>
      <xdr:col>11</xdr:col>
      <xdr:colOff>274475</xdr:colOff>
      <xdr:row>17</xdr:row>
      <xdr:rowOff>38100</xdr:rowOff>
    </xdr:to>
    <xdr:sp macro="" textlink="Sheet1!Q7">
      <xdr:nvSpPr>
        <xdr:cNvPr id="8" name="TextBox 7">
          <a:extLst>
            <a:ext uri="{FF2B5EF4-FFF2-40B4-BE49-F238E27FC236}">
              <a16:creationId xmlns:a16="http://schemas.microsoft.com/office/drawing/2014/main" id="{A04A4778-F728-439C-A421-0D3ABA64FBBA}"/>
            </a:ext>
          </a:extLst>
        </xdr:cNvPr>
        <xdr:cNvSpPr txBox="1"/>
      </xdr:nvSpPr>
      <xdr:spPr>
        <a:xfrm>
          <a:off x="5400675" y="2486025"/>
          <a:ext cx="2046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FAE67A-AF6B-4C36-A333-8996372E9290}" type="TxLink">
            <a:rPr lang="en-US" sz="2800" b="0" i="0" u="none" strike="noStrike">
              <a:solidFill>
                <a:schemeClr val="bg1">
                  <a:lumMod val="85000"/>
                </a:schemeClr>
              </a:solidFill>
              <a:latin typeface="Calibri"/>
              <a:ea typeface="Calibri"/>
              <a:cs typeface="Calibri"/>
            </a:rPr>
            <a:pPr marL="0" indent="0"/>
            <a:t> 1,254.00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14</xdr:col>
      <xdr:colOff>95250</xdr:colOff>
      <xdr:row>14</xdr:row>
      <xdr:rowOff>114300</xdr:rowOff>
    </xdr:from>
    <xdr:to>
      <xdr:col>17</xdr:col>
      <xdr:colOff>226850</xdr:colOff>
      <xdr:row>17</xdr:row>
      <xdr:rowOff>133350</xdr:rowOff>
    </xdr:to>
    <xdr:sp macro="" textlink="Sheet1!Q6">
      <xdr:nvSpPr>
        <xdr:cNvPr id="10" name="TextBox 9">
          <a:extLst>
            <a:ext uri="{FF2B5EF4-FFF2-40B4-BE49-F238E27FC236}">
              <a16:creationId xmlns:a16="http://schemas.microsoft.com/office/drawing/2014/main" id="{9D57F9D8-DFDD-427C-9827-3D7FFE51DBB3}"/>
            </a:ext>
          </a:extLst>
        </xdr:cNvPr>
        <xdr:cNvSpPr txBox="1"/>
      </xdr:nvSpPr>
      <xdr:spPr>
        <a:xfrm>
          <a:off x="9182100" y="2543175"/>
          <a:ext cx="20461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78FB5A-D4CF-4FCD-A117-E89F2A919533}" type="TxLink">
            <a:rPr lang="en-US" sz="2800" b="0" i="0" u="none" strike="noStrike">
              <a:solidFill>
                <a:schemeClr val="bg1">
                  <a:lumMod val="85000"/>
                </a:schemeClr>
              </a:solidFill>
              <a:latin typeface="Calibri"/>
              <a:ea typeface="Calibri"/>
              <a:cs typeface="Calibri"/>
            </a:rPr>
            <a:pPr marL="0" indent="0"/>
            <a:t> 159.00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18</xdr:col>
      <xdr:colOff>333375</xdr:colOff>
      <xdr:row>14</xdr:row>
      <xdr:rowOff>133350</xdr:rowOff>
    </xdr:from>
    <xdr:to>
      <xdr:col>21</xdr:col>
      <xdr:colOff>464975</xdr:colOff>
      <xdr:row>17</xdr:row>
      <xdr:rowOff>114300</xdr:rowOff>
    </xdr:to>
    <xdr:sp macro="" textlink="Sheet1!Q7">
      <xdr:nvSpPr>
        <xdr:cNvPr id="11" name="TextBox 10">
          <a:extLst>
            <a:ext uri="{FF2B5EF4-FFF2-40B4-BE49-F238E27FC236}">
              <a16:creationId xmlns:a16="http://schemas.microsoft.com/office/drawing/2014/main" id="{4FDFD55E-DD69-46A6-84BB-3E8FCD54AAD3}"/>
            </a:ext>
          </a:extLst>
        </xdr:cNvPr>
        <xdr:cNvSpPr txBox="1"/>
      </xdr:nvSpPr>
      <xdr:spPr>
        <a:xfrm>
          <a:off x="12325350" y="2562225"/>
          <a:ext cx="2046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EAA29D-1D83-4AB2-A2A5-03A4531E986C}" type="TxLink">
            <a:rPr lang="en-US" sz="2800" b="0" i="0" u="none" strike="noStrike">
              <a:solidFill>
                <a:schemeClr val="bg1">
                  <a:lumMod val="85000"/>
                </a:schemeClr>
              </a:solidFill>
              <a:latin typeface="Calibri"/>
              <a:ea typeface="Calibri"/>
              <a:cs typeface="Calibri"/>
            </a:rPr>
            <a:pPr marL="0" indent="0"/>
            <a:t> 1,254.00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23</xdr:col>
      <xdr:colOff>44330</xdr:colOff>
      <xdr:row>10</xdr:row>
      <xdr:rowOff>151124</xdr:rowOff>
    </xdr:from>
    <xdr:to>
      <xdr:col>27</xdr:col>
      <xdr:colOff>402628</xdr:colOff>
      <xdr:row>19</xdr:row>
      <xdr:rowOff>171450</xdr:rowOff>
    </xdr:to>
    <xdr:sp macro="" textlink="">
      <xdr:nvSpPr>
        <xdr:cNvPr id="14" name="Rectangle: Rounded Corners 13">
          <a:extLst>
            <a:ext uri="{FF2B5EF4-FFF2-40B4-BE49-F238E27FC236}">
              <a16:creationId xmlns:a16="http://schemas.microsoft.com/office/drawing/2014/main" id="{2A532326-F69A-4239-952F-533AF14A6260}"/>
            </a:ext>
          </a:extLst>
        </xdr:cNvPr>
        <xdr:cNvSpPr/>
      </xdr:nvSpPr>
      <xdr:spPr>
        <a:xfrm>
          <a:off x="15227180" y="1856099"/>
          <a:ext cx="2910998" cy="1649101"/>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24</xdr:col>
      <xdr:colOff>123825</xdr:colOff>
      <xdr:row>11</xdr:row>
      <xdr:rowOff>47625</xdr:rowOff>
    </xdr:from>
    <xdr:to>
      <xdr:col>27</xdr:col>
      <xdr:colOff>388775</xdr:colOff>
      <xdr:row>13</xdr:row>
      <xdr:rowOff>171450</xdr:rowOff>
    </xdr:to>
    <xdr:sp macro="" textlink="">
      <xdr:nvSpPr>
        <xdr:cNvPr id="12" name="TextBox 11">
          <a:extLst>
            <a:ext uri="{FF2B5EF4-FFF2-40B4-BE49-F238E27FC236}">
              <a16:creationId xmlns:a16="http://schemas.microsoft.com/office/drawing/2014/main" id="{A817BC97-D180-4997-BC83-4E0CE1649373}"/>
            </a:ext>
          </a:extLst>
        </xdr:cNvPr>
        <xdr:cNvSpPr txBox="1"/>
      </xdr:nvSpPr>
      <xdr:spPr>
        <a:xfrm>
          <a:off x="15944850" y="1933575"/>
          <a:ext cx="21794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bg1">
                  <a:lumMod val="85000"/>
                </a:schemeClr>
              </a:solidFill>
              <a:latin typeface="Calibri"/>
              <a:ea typeface="Calibri"/>
              <a:cs typeface="Calibri"/>
            </a:rPr>
            <a:t>Engaging</a:t>
          </a:r>
        </a:p>
      </xdr:txBody>
    </xdr:sp>
    <xdr:clientData/>
  </xdr:twoCellAnchor>
  <xdr:twoCellAnchor>
    <xdr:from>
      <xdr:col>24</xdr:col>
      <xdr:colOff>19050</xdr:colOff>
      <xdr:row>14</xdr:row>
      <xdr:rowOff>123825</xdr:rowOff>
    </xdr:from>
    <xdr:to>
      <xdr:col>27</xdr:col>
      <xdr:colOff>150650</xdr:colOff>
      <xdr:row>17</xdr:row>
      <xdr:rowOff>104775</xdr:rowOff>
    </xdr:to>
    <xdr:sp macro="" textlink="Sheet1!Q5">
      <xdr:nvSpPr>
        <xdr:cNvPr id="13" name="TextBox 12">
          <a:extLst>
            <a:ext uri="{FF2B5EF4-FFF2-40B4-BE49-F238E27FC236}">
              <a16:creationId xmlns:a16="http://schemas.microsoft.com/office/drawing/2014/main" id="{E53AF2E3-4601-406C-9DE8-D5F9C424F6A3}"/>
            </a:ext>
          </a:extLst>
        </xdr:cNvPr>
        <xdr:cNvSpPr txBox="1"/>
      </xdr:nvSpPr>
      <xdr:spPr>
        <a:xfrm>
          <a:off x="15840075" y="2552700"/>
          <a:ext cx="2046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7808BE-1DB9-45F2-B4DA-F6CA48D2BDAC}" type="TxLink">
            <a:rPr lang="en-US" sz="2800" b="0" i="0" u="none" strike="noStrike">
              <a:solidFill>
                <a:schemeClr val="bg1">
                  <a:lumMod val="85000"/>
                </a:schemeClr>
              </a:solidFill>
              <a:latin typeface="Calibri"/>
              <a:ea typeface="Calibri"/>
              <a:cs typeface="Calibri"/>
            </a:rPr>
            <a:pPr marL="0" indent="0"/>
            <a:t> 778.00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2</xdr:col>
      <xdr:colOff>7426</xdr:colOff>
      <xdr:row>10</xdr:row>
      <xdr:rowOff>151124</xdr:rowOff>
    </xdr:from>
    <xdr:to>
      <xdr:col>6</xdr:col>
      <xdr:colOff>365724</xdr:colOff>
      <xdr:row>19</xdr:row>
      <xdr:rowOff>171450</xdr:rowOff>
    </xdr:to>
    <xdr:sp macro="" textlink="">
      <xdr:nvSpPr>
        <xdr:cNvPr id="15" name="Rectangle: Rounded Corners 14">
          <a:extLst>
            <a:ext uri="{FF2B5EF4-FFF2-40B4-BE49-F238E27FC236}">
              <a16:creationId xmlns:a16="http://schemas.microsoft.com/office/drawing/2014/main" id="{EC53596D-918B-ABEB-BA6E-38306BC707B0}"/>
            </a:ext>
          </a:extLst>
        </xdr:cNvPr>
        <xdr:cNvSpPr/>
      </xdr:nvSpPr>
      <xdr:spPr>
        <a:xfrm>
          <a:off x="1436176" y="1856099"/>
          <a:ext cx="2910998" cy="1649101"/>
        </a:xfrm>
        <a:prstGeom prst="roundRect">
          <a:avLst/>
        </a:prstGeom>
        <a:solidFill>
          <a:schemeClr val="tx1">
            <a:lumMod val="85000"/>
            <a:lumOff val="1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tx1">
                <a:lumMod val="85000"/>
                <a:lumOff val="15000"/>
              </a:schemeClr>
            </a:solidFill>
            <a:latin typeface="+mn-lt"/>
            <a:ea typeface="+mn-ea"/>
            <a:cs typeface="+mn-cs"/>
          </a:endParaRPr>
        </a:p>
      </xdr:txBody>
    </xdr:sp>
    <xdr:clientData/>
  </xdr:twoCellAnchor>
  <xdr:twoCellAnchor>
    <xdr:from>
      <xdr:col>2</xdr:col>
      <xdr:colOff>485775</xdr:colOff>
      <xdr:row>11</xdr:row>
      <xdr:rowOff>57150</xdr:rowOff>
    </xdr:from>
    <xdr:to>
      <xdr:col>6</xdr:col>
      <xdr:colOff>171450</xdr:colOff>
      <xdr:row>13</xdr:row>
      <xdr:rowOff>171450</xdr:rowOff>
    </xdr:to>
    <xdr:sp macro="" textlink="">
      <xdr:nvSpPr>
        <xdr:cNvPr id="16" name="TextBox 15">
          <a:extLst>
            <a:ext uri="{FF2B5EF4-FFF2-40B4-BE49-F238E27FC236}">
              <a16:creationId xmlns:a16="http://schemas.microsoft.com/office/drawing/2014/main" id="{50E8A391-A9C9-D6F7-81FC-C31267BDDC90}"/>
            </a:ext>
          </a:extLst>
        </xdr:cNvPr>
        <xdr:cNvSpPr txBox="1"/>
      </xdr:nvSpPr>
      <xdr:spPr>
        <a:xfrm>
          <a:off x="1914525" y="1943100"/>
          <a:ext cx="22383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Net </a:t>
          </a:r>
          <a:r>
            <a:rPr lang="en-US" sz="2800" b="1">
              <a:solidFill>
                <a:schemeClr val="bg1">
                  <a:lumMod val="85000"/>
                </a:schemeClr>
              </a:solidFill>
            </a:rPr>
            <a:t>Profit</a:t>
          </a:r>
          <a:endParaRPr lang="en-US" sz="2400" b="1">
            <a:solidFill>
              <a:schemeClr val="bg1">
                <a:lumMod val="85000"/>
              </a:schemeClr>
            </a:solidFill>
          </a:endParaRPr>
        </a:p>
      </xdr:txBody>
    </xdr:sp>
    <xdr:clientData/>
  </xdr:twoCellAnchor>
  <xdr:twoCellAnchor>
    <xdr:from>
      <xdr:col>22</xdr:col>
      <xdr:colOff>371475</xdr:colOff>
      <xdr:row>25</xdr:row>
      <xdr:rowOff>28575</xdr:rowOff>
    </xdr:from>
    <xdr:to>
      <xdr:col>35</xdr:col>
      <xdr:colOff>3819525</xdr:colOff>
      <xdr:row>45</xdr:row>
      <xdr:rowOff>19050</xdr:rowOff>
    </xdr:to>
    <xdr:graphicFrame macro="">
      <xdr:nvGraphicFramePr>
        <xdr:cNvPr id="21" name="Chart 20">
          <a:extLst>
            <a:ext uri="{FF2B5EF4-FFF2-40B4-BE49-F238E27FC236}">
              <a16:creationId xmlns:a16="http://schemas.microsoft.com/office/drawing/2014/main" id="{A346CAE6-D686-4CB3-BCDD-21B328328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514350</xdr:colOff>
      <xdr:row>23</xdr:row>
      <xdr:rowOff>171450</xdr:rowOff>
    </xdr:from>
    <xdr:to>
      <xdr:col>21</xdr:col>
      <xdr:colOff>209550</xdr:colOff>
      <xdr:row>44</xdr:row>
      <xdr:rowOff>66675</xdr:rowOff>
    </xdr:to>
    <xdr:graphicFrame macro="">
      <xdr:nvGraphicFramePr>
        <xdr:cNvPr id="22" name="Chart 21">
          <a:extLst>
            <a:ext uri="{FF2B5EF4-FFF2-40B4-BE49-F238E27FC236}">
              <a16:creationId xmlns:a16="http://schemas.microsoft.com/office/drawing/2014/main" id="{B3533301-94E4-47B7-892D-82A97F4A6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152400</xdr:colOff>
      <xdr:row>23</xdr:row>
      <xdr:rowOff>133350</xdr:rowOff>
    </xdr:from>
    <xdr:to>
      <xdr:col>35</xdr:col>
      <xdr:colOff>1866900</xdr:colOff>
      <xdr:row>26</xdr:row>
      <xdr:rowOff>19050</xdr:rowOff>
    </xdr:to>
    <xdr:sp macro="" textlink="">
      <xdr:nvSpPr>
        <xdr:cNvPr id="23" name="TextBox 22">
          <a:extLst>
            <a:ext uri="{FF2B5EF4-FFF2-40B4-BE49-F238E27FC236}">
              <a16:creationId xmlns:a16="http://schemas.microsoft.com/office/drawing/2014/main" id="{13791DEF-0958-4E7A-B930-B89B182E358F}"/>
            </a:ext>
          </a:extLst>
        </xdr:cNvPr>
        <xdr:cNvSpPr txBox="1"/>
      </xdr:nvSpPr>
      <xdr:spPr>
        <a:xfrm>
          <a:off x="19164300" y="4191000"/>
          <a:ext cx="55435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rPr>
            <a:t>Profit by Month</a:t>
          </a:r>
        </a:p>
      </xdr:txBody>
    </xdr:sp>
    <xdr:clientData/>
  </xdr:twoCellAnchor>
  <xdr:twoCellAnchor>
    <xdr:from>
      <xdr:col>10</xdr:col>
      <xdr:colOff>581025</xdr:colOff>
      <xdr:row>23</xdr:row>
      <xdr:rowOff>152400</xdr:rowOff>
    </xdr:from>
    <xdr:to>
      <xdr:col>21</xdr:col>
      <xdr:colOff>257175</xdr:colOff>
      <xdr:row>26</xdr:row>
      <xdr:rowOff>123825</xdr:rowOff>
    </xdr:to>
    <xdr:sp macro="" textlink="">
      <xdr:nvSpPr>
        <xdr:cNvPr id="24" name="TextBox 23">
          <a:extLst>
            <a:ext uri="{FF2B5EF4-FFF2-40B4-BE49-F238E27FC236}">
              <a16:creationId xmlns:a16="http://schemas.microsoft.com/office/drawing/2014/main" id="{00BC7544-90A6-4D97-9572-F3726752EC16}"/>
            </a:ext>
          </a:extLst>
        </xdr:cNvPr>
        <xdr:cNvSpPr txBox="1"/>
      </xdr:nvSpPr>
      <xdr:spPr>
        <a:xfrm>
          <a:off x="7115175" y="4210050"/>
          <a:ext cx="70485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85000"/>
                </a:schemeClr>
              </a:solidFill>
              <a:latin typeface="+mn-lt"/>
              <a:ea typeface="+mn-ea"/>
              <a:cs typeface="+mn-cs"/>
            </a:rPr>
            <a:t>Quarterly Opportunity Performance (Won vs. Lost)</a:t>
          </a:r>
        </a:p>
      </xdr:txBody>
    </xdr:sp>
    <xdr:clientData/>
  </xdr:twoCellAnchor>
  <xdr:twoCellAnchor editAs="oneCell">
    <xdr:from>
      <xdr:col>33</xdr:col>
      <xdr:colOff>247651</xdr:colOff>
      <xdr:row>11</xdr:row>
      <xdr:rowOff>76200</xdr:rowOff>
    </xdr:from>
    <xdr:to>
      <xdr:col>35</xdr:col>
      <xdr:colOff>3781425</xdr:colOff>
      <xdr:row>16</xdr:row>
      <xdr:rowOff>114300</xdr:rowOff>
    </xdr:to>
    <mc:AlternateContent xmlns:mc="http://schemas.openxmlformats.org/markup-compatibility/2006">
      <mc:Choice xmlns:a14="http://schemas.microsoft.com/office/drawing/2010/main" Requires="a14">
        <xdr:graphicFrame macro="">
          <xdr:nvGraphicFramePr>
            <xdr:cNvPr id="46" name="Quarter">
              <a:extLst>
                <a:ext uri="{FF2B5EF4-FFF2-40B4-BE49-F238E27FC236}">
                  <a16:creationId xmlns:a16="http://schemas.microsoft.com/office/drawing/2014/main" id="{63EA42FD-1208-495C-BF2B-A9BC57FD22AF}"/>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1812251" y="1962150"/>
              <a:ext cx="4810124"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323850</xdr:colOff>
      <xdr:row>14</xdr:row>
      <xdr:rowOff>123826</xdr:rowOff>
    </xdr:from>
    <xdr:to>
      <xdr:col>6</xdr:col>
      <xdr:colOff>352425</xdr:colOff>
      <xdr:row>19</xdr:row>
      <xdr:rowOff>57150</xdr:rowOff>
    </xdr:to>
    <xdr:sp macro="" textlink="Sheet1!P24">
      <xdr:nvSpPr>
        <xdr:cNvPr id="50" name="TextBox 49">
          <a:extLst>
            <a:ext uri="{FF2B5EF4-FFF2-40B4-BE49-F238E27FC236}">
              <a16:creationId xmlns:a16="http://schemas.microsoft.com/office/drawing/2014/main" id="{1C587867-0D06-4430-A057-B05CDD278D95}"/>
            </a:ext>
          </a:extLst>
        </xdr:cNvPr>
        <xdr:cNvSpPr txBox="1"/>
      </xdr:nvSpPr>
      <xdr:spPr>
        <a:xfrm>
          <a:off x="1752600" y="2552701"/>
          <a:ext cx="2581275" cy="83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BC8474-BF1C-4B41-8D12-04B8DC1396DF}" type="TxLink">
            <a:rPr lang="en-US" sz="2800" b="0" i="0" u="none" strike="noStrike">
              <a:solidFill>
                <a:schemeClr val="bg1">
                  <a:lumMod val="85000"/>
                </a:schemeClr>
              </a:solidFill>
              <a:latin typeface="Calibri"/>
              <a:ea typeface="Calibri"/>
              <a:cs typeface="Calibri"/>
            </a:rPr>
            <a:pPr marL="0" indent="0"/>
            <a:t> 3,086,111 </a:t>
          </a:fld>
          <a:endParaRPr lang="en-US" sz="2800" b="0" i="0" u="none" strike="noStrike">
            <a:solidFill>
              <a:schemeClr val="bg1">
                <a:lumMod val="85000"/>
              </a:schemeClr>
            </a:solidFill>
            <a:latin typeface="Calibri"/>
            <a:ea typeface="Calibri"/>
            <a:cs typeface="Calibri"/>
          </a:endParaRPr>
        </a:p>
      </xdr:txBody>
    </xdr:sp>
    <xdr:clientData/>
  </xdr:twoCellAnchor>
  <xdr:twoCellAnchor editAs="oneCell">
    <xdr:from>
      <xdr:col>33</xdr:col>
      <xdr:colOff>238127</xdr:colOff>
      <xdr:row>17</xdr:row>
      <xdr:rowOff>38099</xdr:rowOff>
    </xdr:from>
    <xdr:to>
      <xdr:col>35</xdr:col>
      <xdr:colOff>3800475</xdr:colOff>
      <xdr:row>22</xdr:row>
      <xdr:rowOff>95249</xdr:rowOff>
    </xdr:to>
    <mc:AlternateContent xmlns:mc="http://schemas.openxmlformats.org/markup-compatibility/2006">
      <mc:Choice xmlns:a14="http://schemas.microsoft.com/office/drawing/2010/main" Requires="a14">
        <xdr:graphicFrame macro="">
          <xdr:nvGraphicFramePr>
            <xdr:cNvPr id="55" name="regional_office">
              <a:extLst>
                <a:ext uri="{FF2B5EF4-FFF2-40B4-BE49-F238E27FC236}">
                  <a16:creationId xmlns:a16="http://schemas.microsoft.com/office/drawing/2014/main" id="{62626824-293F-4A1C-9816-79F27AEA3468}"/>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dr:sp macro="" textlink="">
          <xdr:nvSpPr>
            <xdr:cNvPr id="0" name=""/>
            <xdr:cNvSpPr>
              <a:spLocks noTextEdit="1"/>
            </xdr:cNvSpPr>
          </xdr:nvSpPr>
          <xdr:spPr>
            <a:xfrm>
              <a:off x="21802727" y="3009899"/>
              <a:ext cx="4838698"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590550</xdr:colOff>
      <xdr:row>13</xdr:row>
      <xdr:rowOff>152400</xdr:rowOff>
    </xdr:from>
    <xdr:to>
      <xdr:col>32</xdr:col>
      <xdr:colOff>609600</xdr:colOff>
      <xdr:row>17</xdr:row>
      <xdr:rowOff>171450</xdr:rowOff>
    </xdr:to>
    <xdr:sp macro="" textlink="Sheet1!Q9">
      <xdr:nvSpPr>
        <xdr:cNvPr id="62" name="TextBox 61">
          <a:extLst>
            <a:ext uri="{FF2B5EF4-FFF2-40B4-BE49-F238E27FC236}">
              <a16:creationId xmlns:a16="http://schemas.microsoft.com/office/drawing/2014/main" id="{7680E2D0-A7C0-47BC-B391-FD8B4EEABF84}"/>
            </a:ext>
          </a:extLst>
        </xdr:cNvPr>
        <xdr:cNvSpPr txBox="1"/>
      </xdr:nvSpPr>
      <xdr:spPr>
        <a:xfrm>
          <a:off x="18964275" y="2400300"/>
          <a:ext cx="25717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6BCFDA-F8E1-4F9C-B534-ED199D2D2F3A}" type="TxLink">
            <a:rPr lang="en-US" sz="2800" b="0" i="0" u="none" strike="noStrike">
              <a:solidFill>
                <a:schemeClr val="bg1">
                  <a:lumMod val="85000"/>
                </a:schemeClr>
              </a:solidFill>
              <a:latin typeface="Calibri"/>
              <a:ea typeface="Calibri"/>
              <a:cs typeface="Calibri"/>
            </a:rPr>
            <a:pPr marL="0" indent="0"/>
            <a:t>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29</xdr:col>
      <xdr:colOff>171450</xdr:colOff>
      <xdr:row>14</xdr:row>
      <xdr:rowOff>114300</xdr:rowOff>
    </xdr:from>
    <xdr:to>
      <xdr:col>32</xdr:col>
      <xdr:colOff>303050</xdr:colOff>
      <xdr:row>17</xdr:row>
      <xdr:rowOff>95250</xdr:rowOff>
    </xdr:to>
    <xdr:sp macro="" textlink="Sheet1!S6">
      <xdr:nvSpPr>
        <xdr:cNvPr id="7" name="TextBox 6">
          <a:extLst>
            <a:ext uri="{FF2B5EF4-FFF2-40B4-BE49-F238E27FC236}">
              <a16:creationId xmlns:a16="http://schemas.microsoft.com/office/drawing/2014/main" id="{9706ABD7-F8DE-43B1-BB40-F6B74B71076F}"/>
            </a:ext>
          </a:extLst>
        </xdr:cNvPr>
        <xdr:cNvSpPr txBox="1"/>
      </xdr:nvSpPr>
      <xdr:spPr>
        <a:xfrm>
          <a:off x="19183350" y="2543175"/>
          <a:ext cx="20461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99B164B-293D-40B8-8855-DF730B25D17A}" type="TxLink">
            <a:rPr lang="en-US" sz="2800" b="0" i="0" u="none" strike="noStrike">
              <a:solidFill>
                <a:schemeClr val="bg1">
                  <a:lumMod val="85000"/>
                </a:schemeClr>
              </a:solidFill>
              <a:latin typeface="Calibri"/>
              <a:ea typeface="Calibri"/>
              <a:cs typeface="Calibri"/>
            </a:rPr>
            <a:pPr marL="0" indent="0"/>
            <a:t> 2,682.00 </a:t>
          </a:fld>
          <a:endParaRPr lang="en-US" sz="2800" b="0" i="0" u="none" strike="noStrike">
            <a:solidFill>
              <a:schemeClr val="bg1">
                <a:lumMod val="85000"/>
              </a:schemeClr>
            </a:solidFill>
            <a:latin typeface="Calibri"/>
            <a:ea typeface="Calibri"/>
            <a:cs typeface="Calibri"/>
          </a:endParaRPr>
        </a:p>
      </xdr:txBody>
    </xdr:sp>
    <xdr:clientData/>
  </xdr:twoCellAnchor>
  <xdr:twoCellAnchor>
    <xdr:from>
      <xdr:col>35</xdr:col>
      <xdr:colOff>5743575</xdr:colOff>
      <xdr:row>15</xdr:row>
      <xdr:rowOff>104775</xdr:rowOff>
    </xdr:from>
    <xdr:to>
      <xdr:col>35</xdr:col>
      <xdr:colOff>7524750</xdr:colOff>
      <xdr:row>37</xdr:row>
      <xdr:rowOff>142875</xdr:rowOff>
    </xdr:to>
    <xdr:sp macro="" textlink="">
      <xdr:nvSpPr>
        <xdr:cNvPr id="29" name="Rectangle 28">
          <a:extLst>
            <a:ext uri="{FF2B5EF4-FFF2-40B4-BE49-F238E27FC236}">
              <a16:creationId xmlns:a16="http://schemas.microsoft.com/office/drawing/2014/main" id="{963A960A-BD54-BA25-3966-76CEB7BDFF9B}"/>
            </a:ext>
          </a:extLst>
        </xdr:cNvPr>
        <xdr:cNvSpPr/>
      </xdr:nvSpPr>
      <xdr:spPr>
        <a:xfrm>
          <a:off x="28584525" y="2714625"/>
          <a:ext cx="1781175" cy="401955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38</xdr:row>
      <xdr:rowOff>142876</xdr:rowOff>
    </xdr:from>
    <xdr:to>
      <xdr:col>1</xdr:col>
      <xdr:colOff>95250</xdr:colOff>
      <xdr:row>62</xdr:row>
      <xdr:rowOff>19050</xdr:rowOff>
    </xdr:to>
    <xdr:sp macro="" textlink="">
      <xdr:nvSpPr>
        <xdr:cNvPr id="33" name="Rectangle 32">
          <a:extLst>
            <a:ext uri="{FF2B5EF4-FFF2-40B4-BE49-F238E27FC236}">
              <a16:creationId xmlns:a16="http://schemas.microsoft.com/office/drawing/2014/main" id="{EC349D85-4611-483D-919D-6012A2CF63E7}"/>
            </a:ext>
          </a:extLst>
        </xdr:cNvPr>
        <xdr:cNvSpPr/>
      </xdr:nvSpPr>
      <xdr:spPr>
        <a:xfrm>
          <a:off x="0" y="6915151"/>
          <a:ext cx="409575" cy="4219574"/>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1571626</xdr:colOff>
      <xdr:row>5</xdr:row>
      <xdr:rowOff>238125</xdr:rowOff>
    </xdr:from>
    <xdr:to>
      <xdr:col>35</xdr:col>
      <xdr:colOff>4124326</xdr:colOff>
      <xdr:row>10</xdr:row>
      <xdr:rowOff>0</xdr:rowOff>
    </xdr:to>
    <xdr:sp macro="" textlink="">
      <xdr:nvSpPr>
        <xdr:cNvPr id="35" name="TextBox 34">
          <a:extLst>
            <a:ext uri="{FF2B5EF4-FFF2-40B4-BE49-F238E27FC236}">
              <a16:creationId xmlns:a16="http://schemas.microsoft.com/office/drawing/2014/main" id="{A1403342-8B25-4110-B566-7D9D3E975901}"/>
            </a:ext>
          </a:extLst>
        </xdr:cNvPr>
        <xdr:cNvSpPr txBox="1"/>
      </xdr:nvSpPr>
      <xdr:spPr>
        <a:xfrm>
          <a:off x="24412576" y="714375"/>
          <a:ext cx="2552700" cy="990600"/>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rgbClr val="66FBDD"/>
              </a:solidFill>
            </a:rPr>
            <a:t>Visual by </a:t>
          </a:r>
        </a:p>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rgbClr val="66FBDD"/>
              </a:solidFill>
            </a:rPr>
            <a:t>Hesham Lotfy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_Analyst\Learn\Projectes\Excel%20Projects%20By%20Hesham%20Lotfy\Excel%20Sales%20Dashboard%20(Report)\Dahboards.xlsx" TargetMode="External"/><Relationship Id="rId1" Type="http://schemas.openxmlformats.org/officeDocument/2006/relationships/externalLinkPath" Target="/Data_Analyst/Learn/Projectes/Excel%20Projects%20By%20Hesham%20Lotfy/Excel%20Sales%20Dashboard%20(Report)/Dahboa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alysis 01"/>
      <sheetName val="Store Dashboard "/>
      <sheetName val="Analysis02"/>
      <sheetName val="Walfe Chart"/>
      <sheetName val="Time Fram1"/>
      <sheetName val="Analysis03"/>
      <sheetName val="Profit View "/>
    </sheetNames>
    <sheetDataSet>
      <sheetData sheetId="0" refreshError="1"/>
      <sheetData sheetId="1" refreshError="1"/>
      <sheetData sheetId="2">
        <row r="24">
          <cell r="J24">
            <v>485766.24999999977</v>
          </cell>
        </row>
        <row r="25">
          <cell r="J25">
            <v>480720.64000000001</v>
          </cell>
        </row>
      </sheetData>
      <sheetData sheetId="3" refreshError="1"/>
      <sheetData sheetId="4" refreshError="1"/>
      <sheetData sheetId="5" refreshError="1"/>
      <sheetData sheetId="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19328704" backgroundQuery="1" createdVersion="8" refreshedVersion="8" minRefreshableVersion="3" recordCount="0" supportSubquery="1" supportAdvancedDrill="1" xr:uid="{8A094C0D-731E-41B2-B297-F413C1D4972A}">
  <cacheSource type="external" connectionId="6"/>
  <cacheFields count="6">
    <cacheField name="[Measures].[Count of opportunity_id]" caption="Count of opportunity_id" numFmtId="0" hierarchy="32" level="32767"/>
    <cacheField name="[sales_pipeline].[deal_stage].[deal_stage]" caption="deal_stage" numFmtId="0" hierarchy="17" level="1">
      <sharedItems containsSemiMixedTypes="0" containsNonDate="0" containsString="0"/>
    </cacheField>
    <cacheField name="[sales_pipeline].[Quarter].[Quarter]" caption="Quarter" numFmtId="0" hierarchy="22" level="1">
      <sharedItems count="4">
        <s v="Q-1"/>
        <s v="Q-2"/>
        <s v="Q-3"/>
        <s v="Q-4"/>
      </sharedItems>
    </cacheField>
    <cacheField name="[sales_pipeline].[sales_agent].[sales_agent]" caption="sales_agent" numFmtId="0" hierarchy="14" level="1">
      <sharedItems count="5">
        <s v="Anna Snelling"/>
        <s v="Darcel Schlecht"/>
        <s v="Kary Hendrixson"/>
        <s v="Versie Hillebrand"/>
        <s v="Vicki Laflamme"/>
      </sharedItems>
    </cacheField>
    <cacheField name="[sales_pipeline].[Year].[Year]" caption="Year" numFmtId="0" hierarchy="21" level="1">
      <sharedItems containsSemiMixedTypes="0" containsString="0" containsNumber="1" containsInteger="1" minValue="2017" maxValue="2017" count="1">
        <n v="2017"/>
      </sharedItems>
      <extLst>
        <ext xmlns:x15="http://schemas.microsoft.com/office/spreadsheetml/2010/11/main" uri="{4F2E5C28-24EA-4eb8-9CBF-B6C8F9C3D259}">
          <x15:cachedUniqueNames>
            <x15:cachedUniqueName index="0" name="[sales_pipeline].[Year].&amp;[2017]"/>
          </x15:cachedUniqueNames>
        </ext>
      </extLst>
    </cacheField>
    <cacheField name="[sales_teams].[manager].[manager]" caption="manager" numFmtId="0" hierarchy="28" level="1">
      <sharedItems count="6">
        <s v="Cara Losch"/>
        <s v="Celia Rouche"/>
        <s v="Dustin Brinkmann"/>
        <s v="Melvin Marxen"/>
        <s v="Rocco Neubert"/>
        <s v="Summer Sewald"/>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3"/>
      </fieldsUsage>
    </cacheHierarchy>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2" memberValueDatatype="20" unbalanced="0">
      <fieldsUsage count="2">
        <fieldUsage x="-1"/>
        <fieldUsage x="4"/>
      </fieldsUsage>
    </cacheHierarchy>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2"/>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2" memberValueDatatype="130" unbalanced="0">
      <fieldsUsage count="2">
        <fieldUsage x="-1"/>
        <fieldUsage x="5"/>
      </fieldsUsage>
    </cacheHierarchy>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002315" backgroundQuery="1" createdVersion="8" refreshedVersion="8" minRefreshableVersion="3" recordCount="0" supportSubquery="1" supportAdvancedDrill="1" xr:uid="{ED5F836E-D093-4C7D-B6B6-45A2DD152C30}">
  <cacheSource type="external" connectionId="6"/>
  <cacheFields count="3">
    <cacheField name="[Measures].[Count of opportunity_id]" caption="Count of opportunity_id" numFmtId="0" hierarchy="32" level="32767"/>
    <cacheField name="[sales_pipeline].[deal_stage].[deal_stage]" caption="deal_stage" numFmtId="0" hierarchy="17" level="1">
      <sharedItems containsSemiMixedTypes="0" containsNonDate="0" containsString="0"/>
    </cacheField>
    <cacheField name="[sales_pipeline].[Quarter].[Quarter]" caption="Quarter" numFmtId="0" hierarchy="22" level="1">
      <sharedItems count="1">
        <s v="Q-2"/>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2"/>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0717589" backgroundQuery="1" createdVersion="8" refreshedVersion="8" minRefreshableVersion="3" recordCount="0" supportSubquery="1" supportAdvancedDrill="1" xr:uid="{B715FE86-95DF-4581-B525-379603929DB7}">
  <cacheSource type="external" connectionId="6"/>
  <cacheFields count="3">
    <cacheField name="[Measures].[Count of opportunity_id]" caption="Count of opportunity_id" numFmtId="0" hierarchy="32" level="32767"/>
    <cacheField name="[sales_pipeline].[Quarter].[Quarter]" caption="Quarter" numFmtId="0" hierarchy="22" level="1">
      <sharedItems count="4">
        <s v="Q-2"/>
        <s v="Q-1" u="1"/>
        <s v="Q-3" u="1"/>
        <s v="Q-4" u="1"/>
      </sharedItems>
    </cacheField>
    <cacheField name="[sales_pipeline].[deal_stage].[deal_stage]" caption="deal_stage" numFmtId="0" hierarchy="17" level="1">
      <sharedItems count="2">
        <s v="Lost"/>
        <s v="Won"/>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2"/>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1"/>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2106482" backgroundQuery="1" createdVersion="8" refreshedVersion="8" minRefreshableVersion="3" recordCount="0" supportSubquery="1" supportAdvancedDrill="1" xr:uid="{789CA8ED-ACF8-4671-8B1F-3AC7C3C630CB}">
  <cacheSource type="external" connectionId="6"/>
  <cacheFields count="5">
    <cacheField name="[Measures].[Count of opportunity_id]" caption="Count of opportunity_id" numFmtId="0" hierarchy="32" level="32767"/>
    <cacheField name="[sales_pipeline].[deal_stage].[deal_stage]" caption="deal_stage" numFmtId="0" hierarchy="17" level="1">
      <sharedItems containsSemiMixedTypes="0" containsNonDate="0" containsString="0"/>
    </cacheField>
    <cacheField name="[sales_pipeline].[Quarter].[Quarter]" caption="Quarter" numFmtId="0" hierarchy="22" level="1">
      <sharedItems count="4">
        <s v="Q-1"/>
        <s v="Q-2"/>
        <s v="Q-3"/>
        <s v="Q-4"/>
      </sharedItems>
    </cacheField>
    <cacheField name="[sales_pipeline].[sales_agent].[sales_agent]" caption="sales_agent" numFmtId="0" hierarchy="14" level="1">
      <sharedItems count="5">
        <s v="Anna Snelling"/>
        <s v="Darcel Schlecht"/>
        <s v="Jonathan Berthelot"/>
        <s v="Kary Hendrixson"/>
        <s v="Vicki Laflamme"/>
      </sharedItems>
    </cacheField>
    <cacheField name="[sales_pipeline].[Year].[Year]" caption="Year" numFmtId="0" hierarchy="21" level="1">
      <sharedItems containsSemiMixedTypes="0" containsString="0" containsNumber="1" containsInteger="1" minValue="2017" maxValue="2017" count="1">
        <n v="2017"/>
      </sharedItems>
      <extLst>
        <ext xmlns:x15="http://schemas.microsoft.com/office/spreadsheetml/2010/11/main" uri="{4F2E5C28-24EA-4eb8-9CBF-B6C8F9C3D259}">
          <x15:cachedUniqueNames>
            <x15:cachedUniqueName index="0" name="[sales_pipeline].[Year].&amp;[2017]"/>
          </x15:cachedUniqueNames>
        </ext>
      </extLst>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2" memberValueDatatype="130" unbalanced="0">
      <fieldsUsage count="2">
        <fieldUsage x="-1"/>
        <fieldUsage x="3"/>
      </fieldsUsage>
    </cacheHierarchy>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2" memberValueDatatype="20" unbalanced="0">
      <fieldsUsage count="2">
        <fieldUsage x="-1"/>
        <fieldUsage x="4"/>
      </fieldsUsage>
    </cacheHierarchy>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2"/>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2916668" backgroundQuery="1" createdVersion="8" refreshedVersion="8" minRefreshableVersion="3" recordCount="0" supportSubquery="1" supportAdvancedDrill="1" xr:uid="{900BD815-5F99-4B89-B8EA-95AD6C11ACEA}">
  <cacheSource type="external" connectionId="6"/>
  <cacheFields count="3">
    <cacheField name="[Measures].[Count of opportunity_id]" caption="Count of opportunity_id" numFmtId="0" hierarchy="32" level="32767"/>
    <cacheField name="[sales_pipeline].[Quarter].[Quarter]" caption="Quarter" numFmtId="0" hierarchy="22" level="1">
      <sharedItems count="4">
        <s v="Q-1"/>
        <s v="Q-2"/>
        <s v="Q-3"/>
        <s v="Q-4"/>
      </sharedItems>
    </cacheField>
    <cacheField name="[sales_pipeline].[deal_stage].[deal_stage]" caption="deal_stage" numFmtId="0" hierarchy="17" level="1">
      <sharedItems count="4">
        <s v="Engaging"/>
        <s v="Lost"/>
        <s v="Prospecting"/>
        <s v="Won"/>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2"/>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1"/>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3611114" backgroundQuery="1" createdVersion="8" refreshedVersion="8" minRefreshableVersion="3" recordCount="0" supportSubquery="1" supportAdvancedDrill="1" xr:uid="{2B2A1914-CE6C-440E-A94A-1551186F0A03}">
  <cacheSource type="external" connectionId="6"/>
  <cacheFields count="4">
    <cacheField name="[sales_pipeline].[Quarter].[Quarter]" caption="Quarter" numFmtId="0" hierarchy="22" level="1">
      <sharedItems count="4">
        <s v="Q-1"/>
        <s v="Q-2"/>
        <s v="Q-3"/>
        <s v="Q-4"/>
      </sharedItems>
    </cacheField>
    <cacheField name="[sales_pipeline].[deal_stage].[deal_stage]" caption="deal_stage" numFmtId="0" hierarchy="17" level="1">
      <sharedItems count="2">
        <s v="Lost"/>
        <s v="Won"/>
      </sharedItems>
    </cacheField>
    <cacheField name="[Measures].[Total Revenue ]" caption="Total Revenue " numFmtId="0" hierarchy="42" level="32767"/>
    <cacheField name="[sales_pipeline].[close_date (Month)].[close_date (Month)]" caption="close_date (Month)" numFmtId="0" hierarchy="23" level="1">
      <sharedItems count="5">
        <s v="Apr"/>
        <s v="May"/>
        <s v="Jun"/>
        <s v="Jul" u="1"/>
        <s v="Oct" u="1"/>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0"/>
      </fieldsUsage>
    </cacheHierarchy>
    <cacheHierarchy uniqueName="[sales_pipeline].[close_date (Month)]" caption="close_date (Month)" attribute="1" defaultMemberUniqueName="[sales_pipeline].[close_date (Month)].[All]" allUniqueName="[sales_pipeline].[close_date (Month)].[All]" dimensionUniqueName="[sales_pipeline]" displayFolder="" count="2" memberValueDatatype="130" unbalanced="0">
      <fieldsUsage count="2">
        <fieldUsage x="-1"/>
        <fieldUsage x="3"/>
      </fieldsUsage>
    </cacheHierarchy>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oneField="1">
      <fieldsUsage count="1">
        <fieldUsage x="2"/>
      </fieldsUsage>
    </cacheHierarchy>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4537038" backgroundQuery="1" createdVersion="8" refreshedVersion="8" minRefreshableVersion="3" recordCount="0" supportSubquery="1" supportAdvancedDrill="1" xr:uid="{411FA6F4-7218-47FE-AB55-02FC7D0AA05C}">
  <cacheSource type="external" connectionId="6"/>
  <cacheFields count="3">
    <cacheField name="[sales_pipeline].[Quarter].[Quarter]" caption="Quarter" numFmtId="0" hierarchy="22" level="1">
      <sharedItems count="4">
        <s v="Q-1"/>
        <s v="Q-2"/>
        <s v="Q-3"/>
        <s v="Q-4"/>
      </sharedItems>
    </cacheField>
    <cacheField name="[sales_pipeline].[deal_stage].[deal_stage]" caption="deal_stage" numFmtId="0" hierarchy="17" level="1">
      <sharedItems count="4">
        <s v="Engaging"/>
        <s v="Lost"/>
        <s v="Prospecting"/>
        <s v="Won"/>
      </sharedItems>
    </cacheField>
    <cacheField name="[Measures].[Sum of close_value]" caption="Sum of close_value" numFmtId="0" hierarchy="38" level="32767"/>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0"/>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oneField="1">
      <fieldsUsage count="1">
        <fieldUsage x="2"/>
      </fieldsUsage>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5347223" backgroundQuery="1" createdVersion="8" refreshedVersion="8" minRefreshableVersion="3" recordCount="0" supportSubquery="1" supportAdvancedDrill="1" xr:uid="{A9A91C3B-046C-416E-9B88-0E036271FA91}">
  <cacheSource type="external" connectionId="6"/>
  <cacheFields count="3">
    <cacheField name="[Measures].[Count of opportunity_id]" caption="Count of opportunity_id" numFmtId="0" hierarchy="32" level="32767"/>
    <cacheField name="[sales_pipeline].[Quarter].[Quarter]" caption="Quarter" numFmtId="0" hierarchy="22" level="1">
      <sharedItems count="4">
        <s v="Q-1"/>
        <s v="Q-2"/>
        <s v="Q-3"/>
        <s v="Q-4"/>
      </sharedItems>
    </cacheField>
    <cacheField name="[sales_pipeline].[deal_stage].[deal_stage]" caption="deal_stage" numFmtId="0" hierarchy="17" level="1">
      <sharedItems count="4">
        <s v="Engaging"/>
        <s v="Lost"/>
        <s v="Prospecting"/>
        <s v="Won"/>
      </sharedItems>
    </cacheField>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2"/>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1"/>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oneField="1">
      <fieldsUsage count="1">
        <fieldUsage x="0"/>
      </fieldsUsage>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32352604167" backgroundQuery="1" createdVersion="8" refreshedVersion="8" minRefreshableVersion="3" recordCount="0" supportSubquery="1" supportAdvancedDrill="1" xr:uid="{29F6CF45-AE87-447F-AFD9-1C16F63244A9}">
  <cacheSource type="external" connectionId="6"/>
  <cacheFields count="3">
    <cacheField name="[sales_pipeline].[Quarter].[Quarter]" caption="Quarter" numFmtId="0" hierarchy="22" level="1">
      <sharedItems count="4">
        <s v="Q-1"/>
        <s v="Q-2"/>
        <s v="Q-3"/>
        <s v="Q-4"/>
      </sharedItems>
    </cacheField>
    <cacheField name="[sales_pipeline].[deal_stage].[deal_stage]" caption="deal_stage" numFmtId="0" hierarchy="17" level="1">
      <sharedItems count="4">
        <s v="Engaging"/>
        <s v="Lost"/>
        <s v="Prospecting"/>
        <s v="Won"/>
      </sharedItems>
    </cacheField>
    <cacheField name="[Measures].[count opportunity_id]" caption="count opportunity_id" numFmtId="0" hierarchy="43" level="32767"/>
  </cacheFields>
  <cacheHierarchies count="50">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2"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fieldsUsage count="2">
        <fieldUsage x="-1"/>
        <fieldUsage x="1"/>
      </fieldsUsage>
    </cacheHierarchy>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fieldsUsage count="2">
        <fieldUsage x="-1"/>
        <fieldUsage x="0"/>
      </fieldsUsage>
    </cacheHierarchy>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count opportunity_id]" caption="count opportunity_id" measure="1" displayFolder="" measureGroup="sales_pipeline" count="0" oneField="1">
      <fieldsUsage count="1">
        <fieldUsage x="2"/>
      </fieldsUsage>
    </cacheHierarchy>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dimensions count="6">
    <dimension name="Accounts" uniqueName="[Accounts]" caption="Accounts"/>
    <dimension name="data_dictionary" uniqueName="[data_dictionary]" caption="data_dictionary"/>
    <dimension measure="1" name="Measures" uniqueName="[Measures]" caption="Measures"/>
    <dimension name="products" uniqueName="[products]" caption="products"/>
    <dimension name="sales_pipeline" uniqueName="[sales_pipeline]" caption="sales_pipeline"/>
    <dimension name="sales_teams" uniqueName="[sales_teams]" caption="sales_teams"/>
  </dimensions>
  <measureGroups count="5">
    <measureGroup name="Accounts" caption="Accounts"/>
    <measureGroup name="data_dictionary" caption="data_dictionary"/>
    <measureGroup name="products" caption="products"/>
    <measureGroup name="sales_pipeline" caption="sales_pipeline"/>
    <measureGroup name="sales_teams" caption="sales_teams"/>
  </measureGroups>
  <maps count="8">
    <map measureGroup="0" dimension="0"/>
    <map measureGroup="1" dimension="1"/>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188731249997" backgroundQuery="1" createdVersion="3" refreshedVersion="8" minRefreshableVersion="3" recordCount="0" supportSubquery="1" supportAdvancedDrill="1" xr:uid="{1168D68C-8CEC-4F14-BEC0-4304802FE329}">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2"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2" memberValueDatatype="20" unbalanced="0"/>
    <cacheHierarchy uniqueName="[sales_pipeline].[Quarter]" caption="Quarter" attribute="1" defaultMemberUniqueName="[sales_pipeline].[Quarter].[All]" allUniqueName="[sales_pipeline].[Quarter].[All]" dimensionUniqueName="[sales_pipeline]" displayFolder="" count="2" memberValueDatatype="13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0"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276687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sham Lootfy" refreshedDate="46024.196533912036" backgroundQuery="1" createdVersion="3" refreshedVersion="8" minRefreshableVersion="3" recordCount="0" supportSubquery="1" supportAdvancedDrill="1" xr:uid="{A1211152-0BCC-49D7-A728-D3A02F8BEFCD}">
  <cacheSource type="external" connectionId="6">
    <extLst>
      <ext xmlns:x14="http://schemas.microsoft.com/office/spreadsheetml/2009/9/main" uri="{F057638F-6D5F-4e77-A914-E7F072B9BCA8}">
        <x14:sourceConnection name="ThisWorkbookDataModel"/>
      </ext>
    </extLst>
  </cacheSource>
  <cacheFields count="0"/>
  <cacheHierarchies count="49">
    <cacheHierarchy uniqueName="[Accounts].[account]" caption="account" attribute="1" defaultMemberUniqueName="[Accounts].[account].[All]" allUniqueName="[Accounts].[account].[All]" dimensionUniqueName="[Accounts]" displayFolder="" count="0" memberValueDatatype="130" unbalanced="0"/>
    <cacheHierarchy uniqueName="[Accounts].[sector]" caption="sector" attribute="1" defaultMemberUniqueName="[Accounts].[sector].[All]" allUniqueName="[Accounts].[sector].[All]" dimensionUniqueName="[Accounts]" displayFolder="" count="0" memberValueDatatype="130" unbalanced="0"/>
    <cacheHierarchy uniqueName="[Accounts].[year_established]" caption="year_established" attribute="1" defaultMemberUniqueName="[Accounts].[year_established].[All]" allUniqueName="[Accounts].[year_established].[All]" dimensionUniqueName="[Accounts]" displayFolder="" count="0" memberValueDatatype="20" unbalanced="0"/>
    <cacheHierarchy uniqueName="[Accounts].[revenue]" caption="revenue" attribute="1" defaultMemberUniqueName="[Accounts].[revenue].[All]" allUniqueName="[Accounts].[revenue].[All]" dimensionUniqueName="[Accounts]" displayFolder="" count="0" memberValueDatatype="6" unbalanced="0"/>
    <cacheHierarchy uniqueName="[Accounts].[employees]" caption="employees" attribute="1" defaultMemberUniqueName="[Accounts].[employees].[All]" allUniqueName="[Accounts].[employees].[All]" dimensionUniqueName="[Accounts]" displayFolder="" count="0" memberValueDatatype="20" unbalanced="0"/>
    <cacheHierarchy uniqueName="[Accounts].[office_location]" caption="office_location" attribute="1" defaultMemberUniqueName="[Accounts].[office_location].[All]" allUniqueName="[Accounts].[office_location].[All]" dimensionUniqueName="[Accounts]" displayFolder="" count="0" memberValueDatatype="130" unbalanced="0"/>
    <cacheHierarchy uniqueName="[Accounts].[subsidiary_of]" caption="subsidiary_of" attribute="1" defaultMemberUniqueName="[Accounts].[subsidiary_of].[All]" allUniqueName="[Accounts].[subsidiary_of].[All]" dimensionUniqueName="[Accounts]" displayFolder="" count="0"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series]" caption="series" attribute="1" defaultMemberUniqueName="[products].[series].[All]" allUniqueName="[products].[series].[All]" dimensionUniqueName="[products]" displayFolder="" count="0" memberValueDatatype="130" unbalanced="0"/>
    <cacheHierarchy uniqueName="[products].[sales_price]" caption="sales_price" attribute="1" defaultMemberUniqueName="[products].[sales_price].[All]" allUniqueName="[products].[sales_price].[All]" dimensionUniqueName="[products]" displayFolder="" count="0" memberValueDatatype="6" unbalanced="0"/>
    <cacheHierarchy uniqueName="[sales_pipeline].[opportunity_id]" caption="opportunity_id" attribute="1" defaultMemberUniqueName="[sales_pipeline].[opportunity_id].[All]" allUniqueName="[sales_pipeline].[opportunity_id].[All]" dimensionUniqueName="[sales_pipeline]" displayFolder="" count="0" memberValueDatatype="130" unbalanced="0"/>
    <cacheHierarchy uniqueName="[sales_pipeline].[sales_agent]" caption="sales_agent" attribute="1" defaultMemberUniqueName="[sales_pipeline].[sales_agent].[All]" allUniqueName="[sales_pipeline].[sales_agent].[All]" dimensionUniqueName="[sales_pipeline]" displayFolder="" count="0" memberValueDatatype="130" unbalanced="0"/>
    <cacheHierarchy uniqueName="[sales_pipeline].[product]" caption="product" attribute="1" defaultMemberUniqueName="[sales_pipeline].[product].[All]" allUniqueName="[sales_pipeline].[product].[All]" dimensionUniqueName="[sales_pipeline]" displayFolder="" count="0" memberValueDatatype="130" unbalanced="0"/>
    <cacheHierarchy uniqueName="[sales_pipeline].[account]" caption="account" attribute="1" defaultMemberUniqueName="[sales_pipeline].[account].[All]" allUniqueName="[sales_pipeline].[account].[All]" dimensionUniqueName="[sales_pipeline]" displayFolder="" count="0" memberValueDatatype="130" unbalanced="0"/>
    <cacheHierarchy uniqueName="[sales_pipeline].[deal_stage]" caption="deal_stage" attribute="1" defaultMemberUniqueName="[sales_pipeline].[deal_stage].[All]" allUniqueName="[sales_pipeline].[deal_stage].[All]" dimensionUniqueName="[sales_pipeline]" displayFolder="" count="0" memberValueDatatype="130" unbalanced="0"/>
    <cacheHierarchy uniqueName="[sales_pipeline].[engage_date]" caption="engage_date" attribute="1" time="1" defaultMemberUniqueName="[sales_pipeline].[engage_date].[All]" allUniqueName="[sales_pipeline].[engage_date].[All]" dimensionUniqueName="[sales_pipeline]" displayFolder="" count="0" memberValueDatatype="7" unbalanced="0"/>
    <cacheHierarchy uniqueName="[sales_pipeline].[close_date]" caption="close_date" attribute="1" time="1" defaultMemberUniqueName="[sales_pipeline].[close_date].[All]" allUniqueName="[sales_pipeline].[close_date].[All]" dimensionUniqueName="[sales_pipeline]" displayFolder="" count="0" memberValueDatatype="7" unbalanced="0"/>
    <cacheHierarchy uniqueName="[sales_pipeline].[close_value]" caption="close_value" attribute="1" defaultMemberUniqueName="[sales_pipeline].[close_value].[All]" allUniqueName="[sales_pipeline].[close_value].[All]" dimensionUniqueName="[sales_pipeline]" displayFolder="" count="0" memberValueDatatype="5" unbalanced="0"/>
    <cacheHierarchy uniqueName="[sales_pipeline].[Year]" caption="Year" attribute="1" defaultMemberUniqueName="[sales_pipeline].[Year].[All]" allUniqueName="[sales_pipeline].[Year].[All]" dimensionUniqueName="[sales_pipeline]" displayFolder="" count="0" memberValueDatatype="20" unbalanced="0"/>
    <cacheHierarchy uniqueName="[sales_pipeline].[Quarter]" caption="Quarter" attribute="1" defaultMemberUniqueName="[sales_pipeline].[Quarter].[All]" allUniqueName="[sales_pipeline].[Quarter].[All]" dimensionUniqueName="[sales_pipeline]" displayFolder="" count="0" memberValueDatatype="130" unbalanced="0"/>
    <cacheHierarchy uniqueName="[sales_pipeline].[close_date (Month)]" caption="close_date (Month)" attribute="1" defaultMemberUniqueName="[sales_pipeline].[close_date (Month)].[All]" allUniqueName="[sales_pipeline].[close_date (Month)].[All]" dimensionUniqueName="[sales_pipeline]" displayFolder="" count="0" memberValueDatatype="130" unbalanced="0"/>
    <cacheHierarchy uniqueName="[sales_pipeline].[engage_date (Year)]" caption="engage_date (Year)" attribute="1" defaultMemberUniqueName="[sales_pipeline].[engage_date (Year)].[All]" allUniqueName="[sales_pipeline].[engage_date (Year)].[All]" dimensionUniqueName="[sales_pipeline]" displayFolder="" count="0" memberValueDatatype="130" unbalanced="0"/>
    <cacheHierarchy uniqueName="[sales_pipeline].[engage_date (Quarter)]" caption="engage_date (Quarter)" attribute="1" defaultMemberUniqueName="[sales_pipeline].[engage_date (Quarter)].[All]" allUniqueName="[sales_pipeline].[engage_date (Quarter)].[All]" dimensionUniqueName="[sales_pipeline]" displayFolder="" count="0" memberValueDatatype="130" unbalanced="0"/>
    <cacheHierarchy uniqueName="[sales_pipeline].[engage_date (Month)]" caption="engage_date (Month)" attribute="1" defaultMemberUniqueName="[sales_pipeline].[engage_date (Month)].[All]" allUniqueName="[sales_pipeline].[engage_date (Month)].[All]" dimensionUniqueName="[sales_pipeline]" displayFolder="" count="0" memberValueDatatype="130" unbalanced="0"/>
    <cacheHierarchy uniqueName="[sales_teams].[sales_agent]" caption="sales_agent" attribute="1" defaultMemberUniqueName="[sales_teams].[sales_agent].[All]" allUniqueName="[sales_teams].[sales_agent].[All]" dimensionUniqueName="[sales_teams]" displayFolder="" count="0" memberValueDatatype="130" unbalanced="0"/>
    <cacheHierarchy uniqueName="[sales_teams].[manager]" caption="manager" attribute="1" defaultMemberUniqueName="[sales_teams].[manager].[All]" allUniqueName="[sales_teams].[manager].[All]" dimensionUniqueName="[sales_teams]" displayFolder="" count="0" memberValueDatatype="130" unbalanced="0"/>
    <cacheHierarchy uniqueName="[sales_teams].[regional_office]" caption="regional_office" attribute="1" defaultMemberUniqueName="[sales_teams].[regional_office].[All]" allUniqueName="[sales_teams].[regional_office].[All]" dimensionUniqueName="[sales_teams]" displayFolder="" count="2" memberValueDatatype="130" unbalanced="0"/>
    <cacheHierarchy uniqueName="[sales_pipeline].[close_date (Month Index)]" caption="close_date (Month Index)" attribute="1" defaultMemberUniqueName="[sales_pipeline].[close_date (Month Index)].[All]" allUniqueName="[sales_pipeline].[close_date (Month Index)].[All]" dimensionUniqueName="[sales_pipeline]" displayFolder="" count="0" memberValueDatatype="20" unbalanced="0" hidden="1"/>
    <cacheHierarchy uniqueName="[sales_pipeline].[engage_date (Month Index)]" caption="engage_date (Month Index)" attribute="1" defaultMemberUniqueName="[sales_pipeline].[engage_date (Month Index)].[All]" allUniqueName="[sales_pipeline].[engage_date (Month Index)].[All]" dimensionUniqueName="[sales_pipeline]" displayFolder="" count="0" memberValueDatatype="20" unbalanced="0" hidden="1"/>
    <cacheHierarchy uniqueName="[Measures].[Count of opportunity_id]" caption="Count of opportunity_id" measure="1" displayFolder="" measureGroup="sales_pipeline" count="0">
      <extLst>
        <ext xmlns:x15="http://schemas.microsoft.com/office/spreadsheetml/2010/11/main" uri="{B97F6D7D-B522-45F9-BDA1-12C45D357490}">
          <x15:cacheHierarchy aggregatedColumn="13"/>
        </ext>
      </extLst>
    </cacheHierarchy>
    <cacheHierarchy uniqueName="[Measures].[Count of close_date]" caption="Count of close_date" measure="1" displayFolder="" measureGroup="sales_pipeline" count="0">
      <extLst>
        <ext xmlns:x15="http://schemas.microsoft.com/office/spreadsheetml/2010/11/main" uri="{B97F6D7D-B522-45F9-BDA1-12C45D357490}">
          <x15:cacheHierarchy aggregatedColumn="19"/>
        </ext>
      </extLst>
    </cacheHierarchy>
    <cacheHierarchy uniqueName="[Measures].[Count of close_date (Month)]" caption="Count of close_date (Month)" measure="1" displayFolder="" measureGroup="sales_pipeline" count="0">
      <extLst>
        <ext xmlns:x15="http://schemas.microsoft.com/office/spreadsheetml/2010/11/main" uri="{B97F6D7D-B522-45F9-BDA1-12C45D357490}">
          <x15:cacheHierarchy aggregatedColumn="23"/>
        </ext>
      </extLst>
    </cacheHierarchy>
    <cacheHierarchy uniqueName="[Measures].[Sum of Year]" caption="Sum of Year" measure="1" displayFolder="" measureGroup="sales_pipeline" count="0">
      <extLst>
        <ext xmlns:x15="http://schemas.microsoft.com/office/spreadsheetml/2010/11/main" uri="{B97F6D7D-B522-45F9-BDA1-12C45D357490}">
          <x15:cacheHierarchy aggregatedColumn="21"/>
        </ext>
      </extLst>
    </cacheHierarchy>
    <cacheHierarchy uniqueName="[Measures].[Count of sales_agent]" caption="Count of sales_agent" measure="1" displayFolder="" measureGroup="sales_pipeline" count="0">
      <extLst>
        <ext xmlns:x15="http://schemas.microsoft.com/office/spreadsheetml/2010/11/main" uri="{B97F6D7D-B522-45F9-BDA1-12C45D357490}">
          <x15:cacheHierarchy aggregatedColumn="14"/>
        </ext>
      </extLst>
    </cacheHierarchy>
    <cacheHierarchy uniqueName="[Measures].[Count of deal_stage]" caption="Count of deal_stage" measure="1" displayFolder="" measureGroup="sales_pipeline" count="0">
      <extLst>
        <ext xmlns:x15="http://schemas.microsoft.com/office/spreadsheetml/2010/11/main" uri="{B97F6D7D-B522-45F9-BDA1-12C45D357490}">
          <x15:cacheHierarchy aggregatedColumn="17"/>
        </ext>
      </extLst>
    </cacheHierarchy>
    <cacheHierarchy uniqueName="[Measures].[Sum of close_value]" caption="Sum of close_value" measure="1" displayFolder="" measureGroup="sales_pipeline"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Accounts" count="0">
      <extLst>
        <ext xmlns:x15="http://schemas.microsoft.com/office/spreadsheetml/2010/11/main" uri="{B97F6D7D-B522-45F9-BDA1-12C45D357490}">
          <x15:cacheHierarchy aggregatedColumn="3"/>
        </ext>
      </extLst>
    </cacheHierarchy>
    <cacheHierarchy uniqueName="[Measures].[Sum of employees]" caption="Sum of employees" measure="1" displayFolder="" measureGroup="Accounts" count="0">
      <extLst>
        <ext xmlns:x15="http://schemas.microsoft.com/office/spreadsheetml/2010/11/main" uri="{B97F6D7D-B522-45F9-BDA1-12C45D357490}">
          <x15:cacheHierarchy aggregatedColumn="4"/>
        </ext>
      </extLst>
    </cacheHierarchy>
    <cacheHierarchy uniqueName="[Measures].[Count of Quarter]" caption="Count of Quarter" measure="1" displayFolder="" measureGroup="sales_pipeline" count="0">
      <extLst>
        <ext xmlns:x15="http://schemas.microsoft.com/office/spreadsheetml/2010/11/main" uri="{B97F6D7D-B522-45F9-BDA1-12C45D357490}">
          <x15:cacheHierarchy aggregatedColumn="22"/>
        </ext>
      </extLst>
    </cacheHierarchy>
    <cacheHierarchy uniqueName="[Measures].[Total Revenue ]" caption="Total Revenue " measure="1" displayFolder="" measureGroup="Accounts" count="0"/>
    <cacheHierarchy uniqueName="[Measures].[__XL_Count Accounts]" caption="__XL_Count Accounts" measure="1" displayFolder="" measureGroup="Accounts" count="0" hidden="1"/>
    <cacheHierarchy uniqueName="[Measures].[__XL_Count data_dictionary]" caption="__XL_Count data_dictionary" measure="1" displayFolder="" measureGroup="data_dictionary" count="0" hidden="1"/>
    <cacheHierarchy uniqueName="[Measures].[__XL_Count products]" caption="__XL_Count products" measure="1" displayFolder="" measureGroup="products" count="0" hidden="1"/>
    <cacheHierarchy uniqueName="[Measures].[__XL_Count sales_pipeline]" caption="__XL_Count sales_pipeline" measure="1" displayFolder="" measureGroup="sales_pipeline" count="0" hidden="1"/>
    <cacheHierarchy uniqueName="[Measures].[__XL_Count sales_teams]" caption="__XL_Count sales_teams" measure="1" displayFolder="" measureGroup="sales_team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12710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71627-30EB-42EF-9429-777EECEF9899}" name="PivotTable10" cacheId="2238" applyNumberFormats="0" applyBorderFormats="0" applyFontFormats="0" applyPatternFormats="0" applyAlignmentFormats="0" applyWidthHeightFormats="1" dataCaption="Values" tag="a6299441-84d4-42aa-8aff-ceda0f808aad" updatedVersion="8" minRefreshableVersion="3" useAutoFormatting="1" subtotalHiddenItems="1" itemPrintTitles="1" createdVersion="8" indent="0" outline="1" outlineData="1" multipleFieldFilters="0" chartFormat="19" rowHeaderCaption="Deal_stage">
  <location ref="S5:S6" firstHeaderRow="1" firstDataRow="1" firstDataCol="0"/>
  <pivotFields count="3">
    <pivotField allDrilled="1" subtotalTop="0" showAll="0" sortType="descending" defaultSubtotal="0" defaultAttributeDrillState="1">
      <items count="4">
        <item x="3"/>
        <item x="2"/>
        <item s="1" x="1"/>
        <item x="0"/>
      </items>
    </pivotField>
    <pivotField allDrilled="1" subtotalTop="0" showAll="0" dataSourceSort="1" defaultSubtotal="0" defaultAttributeDrillState="1">
      <items count="4">
        <item x="0"/>
        <item n="total Lost" x="1"/>
        <item x="2"/>
        <item n="total Won" x="3"/>
      </items>
    </pivotField>
    <pivotField dataField="1" subtotalTop="0" showAll="0" defaultSubtotal="0"/>
  </pivotFields>
  <rowItems count="1">
    <i/>
  </rowItems>
  <colItems count="1">
    <i/>
  </colItems>
  <dataFields count="1">
    <dataField fld="2" subtotal="count" baseField="0" baseItem="0"/>
  </dataFields>
  <formats count="6">
    <format dxfId="2">
      <pivotArea outline="0" collapsedLevelsAreSubtotals="1" fieldPosition="0"/>
    </format>
    <format dxfId="3">
      <pivotArea dataOnly="0" labelOnly="1" grandRow="1" outline="0" fieldPosition="0"/>
    </format>
    <format dxfId="4">
      <pivotArea outline="0" collapsedLevelsAreSubtotals="1" fieldPosition="0"/>
    </format>
    <format dxfId="5">
      <pivotArea dataOnly="0" labelOnly="1" grandRow="1" outline="0" fieldPosition="0"/>
    </format>
    <format dxfId="6">
      <pivotArea dataOnly="0" labelOnly="1" outline="0" axis="axisValues" fieldPosition="0"/>
    </format>
    <format dxfId="7">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55506-49DE-4264-B207-0C8B6BBFB5AA}" name="PivotTable5" cacheId="2235" applyNumberFormats="0" applyBorderFormats="0" applyFontFormats="0" applyPatternFormats="0" applyAlignmentFormats="0" applyWidthHeightFormats="1" dataCaption="Values" tag="a6299441-84d4-42aa-8aff-ceda0f808aad" updatedVersion="8" minRefreshableVersion="3" useAutoFormatting="1" subtotalHiddenItems="1" itemPrintTitles="1" createdVersion="8" indent="0" outline="1" outlineData="1" multipleFieldFilters="0" chartFormat="19" rowHeaderCaption="Deal_stage">
  <location ref="P3:Q8" firstHeaderRow="1" firstDataRow="1" firstDataCol="1"/>
  <pivotFields count="3">
    <pivotField dataField="1" subtotalTop="0" showAll="0" defaultSubtotal="0"/>
    <pivotField allDrilled="1" subtotalTop="0" showAll="0" sortType="descending" defaultSubtotal="0" defaultAttributeDrillState="1">
      <items count="4">
        <item x="3"/>
        <item x="2"/>
        <item s="1" x="1"/>
        <item x="0"/>
      </items>
    </pivotField>
    <pivotField axis="axisRow" allDrilled="1" subtotalTop="0" showAll="0" dataSourceSort="1" defaultSubtotal="0" defaultAttributeDrillState="1">
      <items count="4">
        <item x="0"/>
        <item n="total Lost" x="1"/>
        <item x="2"/>
        <item n="total Won" x="3"/>
      </items>
    </pivotField>
  </pivotFields>
  <rowFields count="1">
    <field x="2"/>
  </rowFields>
  <rowItems count="5">
    <i>
      <x/>
    </i>
    <i>
      <x v="1"/>
    </i>
    <i>
      <x v="2"/>
    </i>
    <i>
      <x v="3"/>
    </i>
    <i t="grand">
      <x/>
    </i>
  </rowItems>
  <colItems count="1">
    <i/>
  </colItems>
  <dataFields count="1">
    <dataField name="Count of opportunity_id" fld="0" subtotal="count" baseField="2" baseItem="0" numFmtId="43"/>
  </dataFields>
  <formats count="7">
    <format dxfId="10">
      <pivotArea outline="0" collapsedLevelsAreSubtotals="1" fieldPosition="0"/>
    </format>
    <format dxfId="11">
      <pivotArea dataOnly="0" labelOnly="1" grandRow="1" outline="0" fieldPosition="0"/>
    </format>
    <format dxfId="12">
      <pivotArea outline="0" collapsedLevelsAreSubtotals="1" fieldPosition="0"/>
    </format>
    <format dxfId="13">
      <pivotArea dataOnly="0" labelOnly="1" grandRow="1" outline="0" fieldPosition="0"/>
    </format>
    <format dxfId="14">
      <pivotArea dataOnly="0" labelOnly="1" outline="0" axis="axisValues" fieldPosition="0"/>
    </format>
    <format dxfId="9">
      <pivotArea outline="0" fieldPosition="0">
        <references count="1">
          <reference field="4294967294" count="1">
            <x v="0"/>
          </reference>
        </references>
      </pivotArea>
    </format>
    <format dxfId="8">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2">
          <reference field="4294967294" count="1" selected="0">
            <x v="0"/>
          </reference>
          <reference field="2" count="1" selected="0">
            <x v="2"/>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2" count="1" selected="0">
            <x v="0"/>
          </reference>
        </references>
      </pivotArea>
    </chartFormat>
    <chartFormat chart="15" format="19">
      <pivotArea type="data" outline="0" fieldPosition="0">
        <references count="2">
          <reference field="4294967294" count="1" selected="0">
            <x v="0"/>
          </reference>
          <reference field="2" count="1" selected="0">
            <x v="1"/>
          </reference>
        </references>
      </pivotArea>
    </chartFormat>
    <chartFormat chart="15" format="20">
      <pivotArea type="data" outline="0" fieldPosition="0">
        <references count="2">
          <reference field="4294967294" count="1" selected="0">
            <x v="0"/>
          </reference>
          <reference field="2" count="1" selected="0">
            <x v="2"/>
          </reference>
        </references>
      </pivotArea>
    </chartFormat>
    <chartFormat chart="15" format="21">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57C8B9-DEE3-4944-817B-74C9C169DC48}" name="PivotTable7" cacheId="2226" applyNumberFormats="0" applyBorderFormats="0" applyFontFormats="0" applyPatternFormats="0" applyAlignmentFormats="0" applyWidthHeightFormats="1" dataCaption="Values" tag="a6299441-84d4-42aa-8aff-ceda0f808aad" updatedVersion="8" minRefreshableVersion="3" useAutoFormatting="1" subtotalHiddenItems="1" itemPrintTitles="1" createdVersion="8" indent="0" outline="1" outlineData="1" multipleFieldFilters="0" chartFormat="19" rowHeaderCaption="Deal_stage">
  <location ref="J4:K9" firstHeaderRow="1" firstDataRow="1" firstDataCol="1"/>
  <pivotFields count="3">
    <pivotField dataField="1" subtotalTop="0" showAll="0" defaultSubtotal="0"/>
    <pivotField allDrilled="1" subtotalTop="0" showAll="0" sortType="descending" defaultSubtotal="0" defaultAttributeDrillState="1">
      <items count="4">
        <item x="3"/>
        <item x="2"/>
        <item s="1" x="1"/>
        <item x="0"/>
      </items>
    </pivotField>
    <pivotField axis="axisRow" allDrilled="1" subtotalTop="0" showAll="0" dataSourceSort="1" defaultSubtotal="0" defaultAttributeDrillState="1">
      <items count="4">
        <item x="0"/>
        <item n="total Lost" x="1"/>
        <item x="2"/>
        <item n="total Won" x="3"/>
      </items>
    </pivotField>
  </pivotFields>
  <rowFields count="1">
    <field x="2"/>
  </rowFields>
  <rowItems count="5">
    <i>
      <x/>
    </i>
    <i>
      <x v="1"/>
    </i>
    <i>
      <x v="2"/>
    </i>
    <i>
      <x v="3"/>
    </i>
    <i t="grand">
      <x/>
    </i>
  </rowItems>
  <colItems count="1">
    <i/>
  </colItems>
  <dataFields count="1">
    <dataField name="Count of opportunity_id" fld="0" subtotal="count" baseField="2" baseItem="0" numFmtId="10">
      <extLst>
        <ext xmlns:x14="http://schemas.microsoft.com/office/spreadsheetml/2009/9/main" uri="{E15A36E0-9728-4e99-A89B-3F7291B0FE68}">
          <x14:dataField pivotShowAs="percentOfParentRow"/>
        </ext>
      </extLst>
    </dataField>
  </dataFields>
  <formats count="7">
    <format dxfId="21">
      <pivotArea outline="0" collapsedLevelsAreSubtotals="1" fieldPosition="0"/>
    </format>
    <format dxfId="20">
      <pivotArea dataOnly="0" labelOnly="1" grandRow="1" outline="0" fieldPosition="0"/>
    </format>
    <format dxfId="19">
      <pivotArea outline="0" collapsedLevelsAreSubtotals="1" fieldPosition="0"/>
    </format>
    <format dxfId="18">
      <pivotArea dataOnly="0" labelOnly="1" grandRow="1" outline="0" fieldPosition="0"/>
    </format>
    <format dxfId="17">
      <pivotArea outline="0" collapsedLevelsAreSubtotals="1" fieldPosition="0"/>
    </format>
    <format dxfId="16">
      <pivotArea dataOnly="0" labelOnly="1" outline="0" axis="axisValues" fieldPosition="0"/>
    </format>
    <format dxfId="15">
      <pivotArea outline="0" fieldPosition="0">
        <references count="1">
          <reference field="4294967294" count="1">
            <x v="0"/>
          </reference>
        </references>
      </pivotArea>
    </format>
  </formats>
  <chartFormats count="2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2" count="1" selected="0">
            <x v="0"/>
          </reference>
        </references>
      </pivotArea>
    </chartFormat>
    <chartFormat chart="4" format="19">
      <pivotArea type="data" outline="0" fieldPosition="0">
        <references count="2">
          <reference field="4294967294" count="1" selected="0">
            <x v="0"/>
          </reference>
          <reference field="2" count="1" selected="0">
            <x v="1"/>
          </reference>
        </references>
      </pivotArea>
    </chartFormat>
    <chartFormat chart="4" format="20">
      <pivotArea type="data" outline="0" fieldPosition="0">
        <references count="2">
          <reference field="4294967294" count="1" selected="0">
            <x v="0"/>
          </reference>
          <reference field="2" count="1" selected="0">
            <x v="2"/>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2" count="1" selected="0">
            <x v="0"/>
          </reference>
        </references>
      </pivotArea>
    </chartFormat>
    <chartFormat chart="15" format="19">
      <pivotArea type="data" outline="0" fieldPosition="0">
        <references count="2">
          <reference field="4294967294" count="1" selected="0">
            <x v="0"/>
          </reference>
          <reference field="2" count="1" selected="0">
            <x v="1"/>
          </reference>
        </references>
      </pivotArea>
    </chartFormat>
    <chartFormat chart="15" format="20">
      <pivotArea type="data" outline="0" fieldPosition="0">
        <references count="2">
          <reference field="4294967294" count="1" selected="0">
            <x v="0"/>
          </reference>
          <reference field="2" count="1" selected="0">
            <x v="2"/>
          </reference>
        </references>
      </pivotArea>
    </chartFormat>
    <chartFormat chart="15" format="21">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DE3219-4FF5-4D62-A8B1-2ABDC98C9306}" name="PivotTable2" cacheId="2220" applyNumberFormats="0" applyBorderFormats="0" applyFontFormats="0" applyPatternFormats="0" applyAlignmentFormats="0" applyWidthHeightFormats="1" dataCaption="Values" tag="ff05f2d5-091a-4408-bb1c-73e2d2941ba1" updatedVersion="8" minRefreshableVersion="3" useAutoFormatting="1" subtotalHiddenItems="1" itemPrintTitles="1" createdVersion="8" indent="0" outline="1" outlineData="1" multipleFieldFilters="0" chartFormat="18" rowHeaderCaption="Deal_stage">
  <location ref="A9:C13" firstHeaderRow="1" firstDataRow="2" firstDataCol="1"/>
  <pivotFields count="3">
    <pivotField dataField="1" subtotalTop="0" showAll="0" defaultSubtotal="0"/>
    <pivotField axis="axisCol" allDrilled="1" subtotalTop="0" showAll="0" sortType="descending" defaultSubtotal="0" defaultAttributeDrillState="1">
      <items count="4">
        <item x="3"/>
        <item x="2"/>
        <item s="1" x="0"/>
        <item x="1"/>
      </items>
    </pivotField>
    <pivotField axis="axisRow" allDrilled="1" subtotalTop="0" showAll="0" dataSourceSort="1" defaultSubtotal="0" defaultAttributeDrillState="1">
      <items count="2">
        <item s="1" x="0"/>
        <item s="1" x="1"/>
      </items>
    </pivotField>
  </pivotFields>
  <rowFields count="1">
    <field x="2"/>
  </rowFields>
  <rowItems count="3">
    <i>
      <x/>
    </i>
    <i>
      <x v="1"/>
    </i>
    <i t="grand">
      <x/>
    </i>
  </rowItems>
  <colFields count="1">
    <field x="1"/>
  </colFields>
  <colItems count="2">
    <i>
      <x v="2"/>
    </i>
    <i t="grand">
      <x/>
    </i>
  </colItems>
  <dataFields count="1">
    <dataField name="Count of opportunity_id" fld="0" subtotal="count" showDataAs="percentOfCol" baseField="1" baseItem="0" numFmtId="10"/>
  </dataFields>
  <formats count="5">
    <format dxfId="26">
      <pivotArea outline="0" collapsedLevelsAreSubtotals="1" fieldPosition="0"/>
    </format>
    <format dxfId="25">
      <pivotArea dataOnly="0" labelOnly="1" grandRow="1" outline="0" fieldPosition="0"/>
    </format>
    <format dxfId="24">
      <pivotArea outline="0" collapsedLevelsAreSubtotals="1" fieldPosition="0"/>
    </format>
    <format dxfId="23">
      <pivotArea dataOnly="0" labelOnly="1" grandRow="1" outline="0" fieldPosition="0"/>
    </format>
    <format dxfId="22">
      <pivotArea outline="0" fieldPosition="0">
        <references count="1">
          <reference field="4294967294" count="1">
            <x v="0"/>
          </reference>
        </references>
      </pivotArea>
    </format>
  </formats>
  <chartFormats count="6">
    <chartFormat chart="11" format="6" series="1">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3">
          <reference field="4294967294" count="1" selected="0">
            <x v="0"/>
          </reference>
          <reference field="1" count="1" selected="0">
            <x v="0"/>
          </reference>
          <reference field="2" count="1" selected="0">
            <x v="0"/>
          </reference>
        </references>
      </pivotArea>
    </chartFormat>
    <chartFormat chart="11" format="8" series="1">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2">
          <reference field="4294967294" count="1" selected="0">
            <x v="0"/>
          </reference>
          <reference field="1" count="1" selected="0">
            <x v="2"/>
          </reference>
        </references>
      </pivotArea>
    </chartFormat>
    <chartFormat chart="11" format="10" series="1">
      <pivotArea type="data" outline="0" fieldPosition="0">
        <references count="2">
          <reference field="4294967294" count="1" selected="0">
            <x v="0"/>
          </reference>
          <reference field="1" count="1" selected="0">
            <x v="3"/>
          </reference>
        </references>
      </pivotArea>
    </chartFormat>
    <chartFormat chart="11" format="11">
      <pivotArea type="data" outline="0" fieldPosition="0">
        <references count="3">
          <reference field="4294967294" count="1" selected="0">
            <x v="0"/>
          </reference>
          <reference field="1" count="1" selected="0">
            <x v="0"/>
          </reference>
          <reference field="2"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95FEC9-2F29-43D9-ABDC-6380C9EB01E2}" name="PivotTable4" cacheId="2223" applyNumberFormats="0" applyBorderFormats="0" applyFontFormats="0" applyPatternFormats="0" applyAlignmentFormats="0" applyWidthHeightFormats="1" dataCaption="Values" tag="50f82519-6041-4ca8-b8d6-494c327d0185" updatedVersion="8" minRefreshableVersion="3" useAutoFormatting="1" subtotalHiddenItems="1" itemPrintTitles="1" createdVersion="8" indent="0" outline="1" outlineData="1" multipleFieldFilters="0" chartFormat="13" rowHeaderCaption="Sales_agent">
  <location ref="A19:C26"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4">
        <item x="3"/>
        <item x="2"/>
        <item s="1" x="1"/>
        <item x="0"/>
      </items>
    </pivotField>
    <pivotField axis="axisRow" allDrilled="1" subtotalTop="0" showAll="0" measureFilter="1" defaultSubtotal="0" defaultAttributeDrillState="1">
      <items count="5">
        <item x="1"/>
        <item x="4"/>
        <item x="3"/>
        <item x="0"/>
        <item x="2"/>
      </items>
    </pivotField>
    <pivotField axis="axisCol" allDrilled="1" subtotalTop="0" showAll="0" dataSourceSort="1" defaultSubtotal="0" defaultAttributeDrillState="1">
      <items count="1">
        <item x="0"/>
      </items>
    </pivotField>
  </pivotFields>
  <rowFields count="1">
    <field x="3"/>
  </rowFields>
  <rowItems count="6">
    <i>
      <x/>
    </i>
    <i>
      <x v="1"/>
    </i>
    <i>
      <x v="2"/>
    </i>
    <i>
      <x v="3"/>
    </i>
    <i>
      <x v="4"/>
    </i>
    <i t="grand">
      <x/>
    </i>
  </rowItems>
  <colFields count="1">
    <field x="4"/>
  </colFields>
  <colItems count="2">
    <i>
      <x/>
    </i>
    <i t="grand">
      <x/>
    </i>
  </colItems>
  <pageFields count="1">
    <pageField fld="1" hier="17" name="[sales_pipeline].[deal_stage].&amp;[Won]" cap="Won"/>
  </pageFields>
  <dataFields count="1">
    <dataField name="Count of opp" fld="0" subtotal="count" baseField="3" baseItem="1"/>
  </dataFields>
  <chartFormats count="4">
    <chartFormat chart="9" format="2" series="1">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3">
          <reference field="4294967294" count="1" selected="0">
            <x v="0"/>
          </reference>
          <reference field="3" count="1" selected="0">
            <x v="0"/>
          </reference>
          <reference field="4" count="1" selected="0">
            <x v="0"/>
          </reference>
        </references>
      </pivotArea>
    </chartFormat>
    <chartFormat chart="9" format="4">
      <pivotArea type="data" outline="0" fieldPosition="0">
        <references count="3">
          <reference field="4294967294" count="1" selected="0">
            <x v="0"/>
          </reference>
          <reference field="3" count="1" selected="0">
            <x v="1"/>
          </reference>
          <reference field="4" count="1" selected="0">
            <x v="0"/>
          </reference>
        </references>
      </pivotArea>
    </chartFormat>
    <chartFormat chart="9" format="5">
      <pivotArea type="data" outline="0" fieldPosition="0">
        <references count="3">
          <reference field="4294967294" count="1" selected="0">
            <x v="0"/>
          </reference>
          <reference field="3" count="1" selected="0">
            <x v="2"/>
          </reference>
          <reference field="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ipeline].[deal_stage].&amp;[W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2">
      <autoFilter ref="A1">
        <filterColumn colId="0">
          <top10 val="5" filterVal="5"/>
        </filterColumn>
      </autoFilter>
    </filter>
  </filters>
  <rowHierarchiesUsage count="1">
    <rowHierarchyUsage hierarchyUsage="1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46CCEC-DD0A-438B-B2E5-B37AA4B8869E}" name="PivotTable1" cacheId="2217" applyNumberFormats="0" applyBorderFormats="0" applyFontFormats="0" applyPatternFormats="0" applyAlignmentFormats="0" applyWidthHeightFormats="1" dataCaption="Values" tag="a8b7fc72-c746-4171-a272-328ce4bddba7" updatedVersion="8" minRefreshableVersion="3" useAutoFormatting="1" subtotalHiddenItems="1" itemPrintTitles="1" createdVersion="8" indent="0" outline="1" outlineData="1" multipleFieldFilters="0" chartFormat="12" rowHeaderCaption="Close Date">
  <location ref="A3:C5" firstHeaderRow="1" firstDataRow="2" firstDataCol="1" rowPageCount="1" colPageCount="1"/>
  <pivotFields count="3">
    <pivotField dataField="1" subtotalTop="0" showAll="0" defaultSubtotal="0"/>
    <pivotField axis="axisPage" allDrilled="1" subtotalTop="0" showAll="0" dataSourceSort="1" defaultSubtotal="0" defaultAttributeDrillState="1"/>
    <pivotField axis="axisCol" allDrilled="1" subtotalTop="0" showAll="0" sortType="descending" defaultSubtotal="0" defaultAttributeDrillState="1">
      <items count="1">
        <item s="1" x="0"/>
      </items>
    </pivotField>
  </pivotFields>
  <rowItems count="1">
    <i/>
  </rowItems>
  <colFields count="1">
    <field x="2"/>
  </colFields>
  <colItems count="2">
    <i>
      <x/>
    </i>
    <i t="grand">
      <x/>
    </i>
  </colItems>
  <pageFields count="1">
    <pageField fld="1" hier="17" name="[sales_pipeline].[deal_stage].&amp;[Won]" cap="Won"/>
  </pageFields>
  <dataFields count="1">
    <dataField name="Count of opp"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ipeline].[deal_stage].&amp;[W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621CF4-D7B3-4B86-81D9-BC4A838FD864}" name="PivotTable8" cacheId="2229" applyNumberFormats="0" applyBorderFormats="0" applyFontFormats="0" applyPatternFormats="0" applyAlignmentFormats="0" applyWidthHeightFormats="1" dataCaption="Values" tag="a8410c95-5a7b-4256-b5f4-a3946f735f76" updatedVersion="8" minRefreshableVersion="3" useAutoFormatting="1" subtotalHiddenItems="1" itemPrintTitles="1" createdVersion="8" indent="0" outline="1" outlineData="1" multipleFieldFilters="0" chartFormat="8" rowHeaderCaption="Deal_stage">
  <location ref="M4:N8" firstHeaderRow="1" firstDataRow="1" firstDataCol="1" rowPageCount="1" colPageCount="1"/>
  <pivotFields count="4">
    <pivotField allDrilled="1" subtotalTop="0" showAll="0" sortType="descending" defaultSubtotal="0" defaultAttributeDrillState="1">
      <items count="4">
        <item x="3"/>
        <item x="2"/>
        <item s="1" x="1"/>
        <item x="0"/>
      </items>
    </pivotField>
    <pivotField axis="axisPage" allDrilled="1" subtotalTop="0" showAll="0" dataSourceSort="1" defaultSubtotal="0" defaultAttributeDrillState="1">
      <items count="2">
        <item n="total Lost" x="0"/>
        <item n="total Won" s="1"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3"/>
  </rowFields>
  <rowItems count="4">
    <i>
      <x/>
    </i>
    <i>
      <x v="1"/>
    </i>
    <i>
      <x v="2"/>
    </i>
    <i t="grand">
      <x/>
    </i>
  </rowItems>
  <colItems count="1">
    <i/>
  </colItems>
  <pageFields count="1">
    <pageField fld="1" hier="17" name="[sales_pipeline].[deal_stage].&amp;[Won]" cap="total Won"/>
  </pageFields>
  <dataFields count="1">
    <dataField fld="2" subtotal="count" baseField="0" baseItem="0" numFmtId="165"/>
  </dataFields>
  <formats count="6">
    <format dxfId="32">
      <pivotArea outline="0" collapsedLevelsAreSubtotals="1" fieldPosition="0"/>
    </format>
    <format dxfId="31">
      <pivotArea dataOnly="0" labelOnly="1" grandRow="1" outline="0" fieldPosition="0"/>
    </format>
    <format dxfId="30">
      <pivotArea outline="0" collapsedLevelsAreSubtotals="1" fieldPosition="0"/>
    </format>
    <format dxfId="29">
      <pivotArea dataOnly="0" labelOnly="1" grandRow="1" outline="0" fieldPosition="0"/>
    </format>
    <format dxfId="28">
      <pivotArea outline="0" collapsedLevelsAreSubtotals="1" fieldPosition="0"/>
    </format>
    <format dxfId="27">
      <pivotArea grandRow="1"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activeTabTopLevelEntity name="[produc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8E940E-C1F1-47C1-AA3F-E781A99CF873}" name="PivotTable3" cacheId="2214" applyNumberFormats="0" applyBorderFormats="0" applyFontFormats="0" applyPatternFormats="0" applyAlignmentFormats="0" applyWidthHeightFormats="1" dataCaption="Values" tag="9092913f-5fb3-4d43-a93e-2037817be9e6" updatedVersion="8" minRefreshableVersion="3" useAutoFormatting="1" subtotalHiddenItems="1" itemPrintTitles="1" createdVersion="8" indent="0" outline="1" outlineData="1" multipleFieldFilters="0" chartFormat="27" rowHeaderCaption="Sales_agent">
  <location ref="J20:L28" firstHeaderRow="1" firstDataRow="2" firstDataCol="1" rowPageCount="1" colPageCount="1"/>
  <pivotFields count="6">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4">
        <item x="3"/>
        <item x="2"/>
        <item s="1" x="1"/>
        <item x="0"/>
      </items>
    </pivotField>
    <pivotField allDrilled="1" subtotalTop="0" showAll="0" measureFilter="1" defaultSubtotal="0" defaultAttributeDrillState="1">
      <items count="5">
        <item x="1"/>
        <item x="4"/>
        <item x="2"/>
        <item x="0"/>
        <item x="3"/>
      </items>
    </pivotField>
    <pivotField axis="axisCol" allDrilled="1" subtotalTop="0" showAll="0" dataSourceSort="1" defaultSubtotal="0" defaultAttributeDrillState="1">
      <items count="1">
        <item x="0"/>
      </items>
    </pivotField>
    <pivotField axis="axisRow" allDrilled="1" subtotalTop="0" showAll="0" dataSourceSort="1" defaultSubtotal="0" defaultAttributeDrillState="1">
      <items count="6">
        <item x="0"/>
        <item x="1"/>
        <item x="2"/>
        <item x="3"/>
        <item x="4"/>
        <item x="5"/>
      </items>
    </pivotField>
  </pivotFields>
  <rowFields count="1">
    <field x="5"/>
  </rowFields>
  <rowItems count="7">
    <i>
      <x/>
    </i>
    <i>
      <x v="1"/>
    </i>
    <i>
      <x v="2"/>
    </i>
    <i>
      <x v="3"/>
    </i>
    <i>
      <x v="4"/>
    </i>
    <i>
      <x v="5"/>
    </i>
    <i t="grand">
      <x/>
    </i>
  </rowItems>
  <colFields count="1">
    <field x="4"/>
  </colFields>
  <colItems count="2">
    <i>
      <x/>
    </i>
    <i t="grand">
      <x/>
    </i>
  </colItems>
  <pageFields count="1">
    <pageField fld="1" hier="17" name="[sales_pipeline].[deal_stage].&amp;[Won]" cap="Won"/>
  </pageFields>
  <dataFields count="1">
    <dataField name="Count of opp" fld="0" subtotal="count" baseField="5" baseItem="0"/>
  </dataFields>
  <chartFormats count="6">
    <chartFormat chart="2" format="0" series="1">
      <pivotArea type="data" outline="0" fieldPosition="0">
        <references count="2">
          <reference field="4294967294" count="1" selected="0">
            <x v="0"/>
          </reference>
          <reference field="4" count="1" selected="0">
            <x v="0"/>
          </reference>
        </references>
      </pivotArea>
    </chartFormat>
    <chartFormat chart="9" format="2" series="1">
      <pivotArea type="data" outline="0" fieldPosition="0">
        <references count="2">
          <reference field="4294967294" count="1" selected="0">
            <x v="0"/>
          </reference>
          <reference field="4" count="1" selected="0">
            <x v="0"/>
          </reference>
        </references>
      </pivotArea>
    </chartFormat>
    <chartFormat chart="23" format="6" series="1">
      <pivotArea type="data" outline="0" fieldPosition="0">
        <references count="2">
          <reference field="4294967294" count="1" selected="0">
            <x v="0"/>
          </reference>
          <reference field="4" count="1" selected="0">
            <x v="0"/>
          </reference>
        </references>
      </pivotArea>
    </chartFormat>
    <chartFormat chart="23" format="7">
      <pivotArea type="data" outline="0" fieldPosition="0">
        <references count="3">
          <reference field="4294967294" count="1" selected="0">
            <x v="0"/>
          </reference>
          <reference field="4" count="1" selected="0">
            <x v="0"/>
          </reference>
          <reference field="5" count="1" selected="0">
            <x v="0"/>
          </reference>
        </references>
      </pivotArea>
    </chartFormat>
    <chartFormat chart="23" format="8">
      <pivotArea type="data" outline="0" fieldPosition="0">
        <references count="3">
          <reference field="4294967294" count="1" selected="0">
            <x v="0"/>
          </reference>
          <reference field="4" count="1" selected="0">
            <x v="0"/>
          </reference>
          <reference field="5" count="1" selected="0">
            <x v="3"/>
          </reference>
        </references>
      </pivotArea>
    </chartFormat>
    <chartFormat chart="23" format="9">
      <pivotArea type="data" outline="0" fieldPosition="0">
        <references count="3">
          <reference field="4294967294" count="1" selected="0">
            <x v="0"/>
          </reference>
          <reference field="4" count="1" selected="0">
            <x v="0"/>
          </reference>
          <reference field="5" count="1" selected="0">
            <x v="5"/>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ipeline].[deal_stage].&amp;[Won]"/>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2">
      <autoFilter ref="A1">
        <filterColumn colId="0">
          <top10 val="5" filterVal="5"/>
        </filterColumn>
      </autoFilter>
    </filter>
  </filters>
  <rowHierarchiesUsage count="1">
    <rowHierarchyUsage hierarchyUsage="28"/>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1CDABC-C9D6-4A1C-88EF-17EA37522CF9}" name="PivotTable9" cacheId="2232" applyNumberFormats="0" applyBorderFormats="0" applyFontFormats="0" applyPatternFormats="0" applyAlignmentFormats="0" applyWidthHeightFormats="1" dataCaption="Values" tag="ab187b42-1880-4abe-80ea-36b4fdfc6ee4" updatedVersion="8" minRefreshableVersion="3" useAutoFormatting="1" subtotalHiddenItems="1" itemPrintTitles="1" createdVersion="8" indent="0" outline="1" outlineData="1" multipleFieldFilters="0" chartFormat="19" rowHeaderCaption="Deal_stage">
  <location ref="P23:P24" firstHeaderRow="1" firstDataRow="1" firstDataCol="0" rowPageCount="1" colPageCount="1"/>
  <pivotFields count="3">
    <pivotField allDrilled="1" subtotalTop="0" showAll="0" sortType="descending" defaultSubtotal="0" defaultAttributeDrillState="1">
      <items count="4">
        <item x="3"/>
        <item x="2"/>
        <item s="1" x="1"/>
        <item x="0"/>
      </items>
    </pivotField>
    <pivotField axis="axisPage" allDrilled="1" subtotalTop="0" showAll="0" dataSourceSort="1" defaultSubtotal="0" defaultAttributeDrillState="1">
      <items count="4">
        <item x="0"/>
        <item n="total Lost" s="1" x="1"/>
        <item x="2"/>
        <item n="total Won" s="1" x="3"/>
      </items>
    </pivotField>
    <pivotField dataField="1" subtotalTop="0" showAll="0" defaultSubtotal="0"/>
  </pivotFields>
  <rowItems count="1">
    <i/>
  </rowItems>
  <colItems count="1">
    <i/>
  </colItems>
  <pageFields count="1">
    <pageField fld="1" hier="17" name="[sales_pipeline].[deal_stage].&amp;[Won]" cap="total Won"/>
  </pageFields>
  <dataFields count="1">
    <dataField name="Sum of close_value" fld="2" baseField="0" baseItem="0" numFmtId="167"/>
  </dataFields>
  <formats count="6">
    <format dxfId="38">
      <pivotArea outline="0" collapsedLevelsAreSubtotals="1" fieldPosition="0"/>
    </format>
    <format dxfId="37">
      <pivotArea dataOnly="0" labelOnly="1" grandRow="1" outline="0" fieldPosition="0"/>
    </format>
    <format dxfId="36">
      <pivotArea outline="0" collapsedLevelsAreSubtotals="1" fieldPosition="0"/>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Count of opp"/>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ipeline]"/>
        <x15:activeTabTopLevelEntity name="[Accounts]"/>
        <x15:activeTabTopLevelEntity name="[sales_team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75EF585-51A9-4AC3-9C6C-FA52E4930D66}" sourceName="[sales_pipeline].[Quarter]">
  <pivotTables>
    <pivotTable tabId="1" name="PivotTable3"/>
    <pivotTable tabId="1" name="PivotTable1"/>
    <pivotTable tabId="1" name="PivotTable2"/>
    <pivotTable tabId="1" name="PivotTable4"/>
    <pivotTable tabId="1" name="PivotTable7"/>
    <pivotTable tabId="1" name="PivotTable8"/>
    <pivotTable tabId="1" name="PivotTable9"/>
    <pivotTable tabId="1" name="PivotTable5"/>
    <pivotTable tabId="1" name="PivotTable10"/>
  </pivotTables>
  <data>
    <olap pivotCacheId="1682766873">
      <levels count="2">
        <level uniqueName="[sales_pipeline].[Quarter].[(All)]" sourceCaption="(All)" count="0"/>
        <level uniqueName="[sales_pipeline].[Quarter].[Quarter]" sourceCaption="Quarter" count="4" sortOrder="descending">
          <ranges>
            <range startItem="0">
              <i n="[sales_pipeline].[Quarter].&amp;[Q-4]" c="Q-4"/>
              <i n="[sales_pipeline].[Quarter].&amp;[Q-3]" c="Q-3"/>
              <i n="[sales_pipeline].[Quarter].&amp;[Q-2]" c="Q-2"/>
              <i n="[sales_pipeline].[Quarter].&amp;[Q-1]" c="Q-1"/>
            </range>
          </ranges>
        </level>
      </levels>
      <selections count="1">
        <selection n="[sales_pipeline].[Quarter].&amp;[Q-2]"/>
      </selections>
    </olap>
  </data>
  <extLst>
    <x:ext xmlns:x15="http://schemas.microsoft.com/office/spreadsheetml/2010/11/main" uri="{470722E0-AACD-4C17-9CDC-17EF765DBC7E}">
      <x15:slicerCacheHideItemsWithNoData count="1">
        <x15:slicerCacheOlapLevelName uniqueName="[sales_pipeline].[Quarter].[Quarte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5911A850-3EE7-4360-B90E-679D900BC130}" sourceName="[sales_teams].[regional_office]">
  <pivotTables>
    <pivotTable tabId="1" name="PivotTable9"/>
    <pivotTable tabId="1" name="PivotTable1"/>
    <pivotTable tabId="1" name="PivotTable2"/>
    <pivotTable tabId="1" name="PivotTable3"/>
    <pivotTable tabId="1" name="PivotTable4"/>
    <pivotTable tabId="1" name="PivotTable7"/>
    <pivotTable tabId="1" name="PivotTable8"/>
    <pivotTable tabId="1" name="PivotTable5"/>
    <pivotTable tabId="1" name="PivotTable10"/>
  </pivotTables>
  <data>
    <olap pivotCacheId="812710197">
      <levels count="2">
        <level uniqueName="[sales_teams].[regional_office].[(All)]" sourceCaption="(All)" count="0"/>
        <level uniqueName="[sales_teams].[regional_office].[regional_office]" sourceCaption="regional_office" count="3">
          <ranges>
            <range startItem="0">
              <i n="[sales_teams].[regional_office].&amp;[Central]" c="Central"/>
              <i n="[sales_teams].[regional_office].&amp;[East]" c="East"/>
              <i n="[sales_teams].[regional_office].&amp;[West]" c="West"/>
            </range>
          </ranges>
        </level>
      </levels>
      <selections count="1">
        <selection n="[sales_teams].[regional_off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42A06604-2C40-41FF-8DED-905F674D238E}" cache="Slicer_Quarter" caption="Quarter" columnCount="4" level="1" style="SlicerStyleDark3 2" rowHeight="365760"/>
  <slicer name="regional_office" xr10:uid="{C9FFCF3F-E499-4B53-8033-9BEEBFA54D5D}" cache="Slicer_regional_office" caption="regional_office" columnCount="3" level="1" style="SlicerStyleDark3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0E0E-71CE-489B-8964-C5F0F8C1AE2C}">
  <dimension ref="AJ1:AJ23"/>
  <sheetViews>
    <sheetView showGridLines="0" showRowColHeaders="0" tabSelected="1" zoomScale="40" zoomScaleNormal="40" zoomScaleSheetLayoutView="40" zoomScalePageLayoutView="55" workbookViewId="0">
      <selection activeCell="AJ49" sqref="AJ49"/>
    </sheetView>
  </sheetViews>
  <sheetFormatPr defaultColWidth="8.83984375" defaultRowHeight="14.4" x14ac:dyDescent="0.55000000000000004"/>
  <cols>
    <col min="1" max="1" width="4.3125" style="8" customWidth="1"/>
    <col min="2" max="2" width="15.3671875" style="8" customWidth="1"/>
    <col min="3" max="17" width="8.83984375" style="8" customWidth="1"/>
    <col min="18" max="18" width="13.734375" style="8" customWidth="1"/>
    <col min="19" max="35" width="8.83984375" style="8" customWidth="1"/>
    <col min="36" max="36" width="232.3125" style="8" customWidth="1"/>
    <col min="37" max="16383" width="8.83984375" style="8" customWidth="1"/>
    <col min="16384" max="16384" width="8.83984375" style="8"/>
  </cols>
  <sheetData>
    <row r="1" ht="37.5" customHeight="1" x14ac:dyDescent="0.55000000000000004"/>
    <row r="2" ht="11.4" hidden="1" customHeight="1" x14ac:dyDescent="0.55000000000000004"/>
    <row r="3" hidden="1" x14ac:dyDescent="0.55000000000000004"/>
    <row r="4" ht="9.6" hidden="1" customHeight="1" x14ac:dyDescent="0.55000000000000004"/>
    <row r="5" hidden="1" x14ac:dyDescent="0.55000000000000004"/>
    <row r="6" ht="30.9" customHeight="1" x14ac:dyDescent="0.55000000000000004"/>
    <row r="7" hidden="1" x14ac:dyDescent="0.55000000000000004"/>
    <row r="8" ht="37.200000000000003" customHeight="1" x14ac:dyDescent="0.55000000000000004"/>
    <row r="23" spans="36:36" x14ac:dyDescent="0.55000000000000004">
      <c r="AJ23" s="9"/>
    </row>
  </sheetData>
  <pageMargins left="0.7" right="0.7" top="0.75" bottom="0.75" header="0.3" footer="0.3"/>
  <pageSetup scale="13" orientation="portrait" r:id="rId1"/>
  <colBreaks count="1" manualBreakCount="1">
    <brk id="36" max="82" man="1"/>
  </col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
  <sheetViews>
    <sheetView zoomScale="85" zoomScaleNormal="85" workbookViewId="0">
      <selection activeCell="A23" sqref="A23"/>
    </sheetView>
  </sheetViews>
  <sheetFormatPr defaultRowHeight="14.4" x14ac:dyDescent="0.55000000000000004"/>
  <cols>
    <col min="1" max="1" width="15.734375" bestFit="1" customWidth="1"/>
    <col min="2" max="2" width="14.89453125" bestFit="1" customWidth="1"/>
    <col min="3" max="3" width="10.20703125" bestFit="1" customWidth="1"/>
    <col min="4" max="5" width="7.62890625" bestFit="1" customWidth="1"/>
    <col min="6" max="6" width="10.20703125" bestFit="1" customWidth="1"/>
    <col min="7" max="7" width="7.62890625" bestFit="1" customWidth="1"/>
    <col min="8" max="8" width="10.20703125" bestFit="1" customWidth="1"/>
    <col min="9" max="9" width="20.47265625" bestFit="1" customWidth="1"/>
    <col min="10" max="10" width="12.1015625" bestFit="1" customWidth="1"/>
    <col min="11" max="11" width="21.7890625" bestFit="1" customWidth="1"/>
    <col min="12" max="12" width="10.20703125" bestFit="1" customWidth="1"/>
    <col min="13" max="13" width="12.1015625" bestFit="1" customWidth="1"/>
    <col min="14" max="14" width="12.83984375" bestFit="1" customWidth="1"/>
    <col min="15" max="15" width="20.47265625" bestFit="1" customWidth="1"/>
    <col min="16" max="16" width="12.1015625" bestFit="1" customWidth="1"/>
    <col min="17" max="17" width="21.7890625" bestFit="1" customWidth="1"/>
    <col min="18" max="18" width="15.7890625" bestFit="1" customWidth="1"/>
    <col min="19" max="19" width="19.3671875" bestFit="1" customWidth="1"/>
    <col min="20" max="20" width="12.1015625" bestFit="1" customWidth="1"/>
    <col min="21" max="21" width="18.15625" bestFit="1" customWidth="1"/>
    <col min="22" max="22" width="15.7890625" bestFit="1" customWidth="1"/>
    <col min="23" max="24" width="10.41796875" bestFit="1" customWidth="1"/>
    <col min="25" max="32" width="20.62890625" bestFit="1" customWidth="1"/>
    <col min="33" max="33" width="25.3125" bestFit="1" customWidth="1"/>
    <col min="34" max="34" width="18.26171875" bestFit="1" customWidth="1"/>
    <col min="35" max="42" width="20.62890625" bestFit="1" customWidth="1"/>
    <col min="43" max="43" width="25.3125" bestFit="1" customWidth="1"/>
    <col min="44" max="44" width="18.26171875" bestFit="1" customWidth="1"/>
    <col min="45" max="45" width="21.1015625" bestFit="1" customWidth="1"/>
    <col min="46" max="930" width="20.62890625" bestFit="1" customWidth="1"/>
    <col min="931" max="931" width="25.3125" bestFit="1" customWidth="1"/>
    <col min="932" max="932" width="18.26171875" bestFit="1" customWidth="1"/>
    <col min="933" max="933" width="21.1015625" bestFit="1" customWidth="1"/>
  </cols>
  <sheetData>
    <row r="1" spans="1:26" x14ac:dyDescent="0.55000000000000004">
      <c r="A1" s="2" t="s">
        <v>2</v>
      </c>
      <c r="B1" t="s" vm="1">
        <v>9</v>
      </c>
    </row>
    <row r="2" spans="1:26" x14ac:dyDescent="0.55000000000000004">
      <c r="M2" s="2" t="s">
        <v>2</v>
      </c>
      <c r="N2" t="s" vm="1">
        <v>17</v>
      </c>
    </row>
    <row r="3" spans="1:26" x14ac:dyDescent="0.55000000000000004">
      <c r="B3" s="2" t="s">
        <v>4</v>
      </c>
      <c r="P3" s="2" t="s">
        <v>15</v>
      </c>
      <c r="Q3" s="7" t="s">
        <v>0</v>
      </c>
      <c r="Z3" s="13">
        <f>Q9</f>
        <v>0</v>
      </c>
    </row>
    <row r="4" spans="1:26" x14ac:dyDescent="0.55000000000000004">
      <c r="B4" t="s">
        <v>6</v>
      </c>
      <c r="C4" t="s">
        <v>5</v>
      </c>
      <c r="J4" s="2" t="s">
        <v>15</v>
      </c>
      <c r="K4" s="7" t="s">
        <v>0</v>
      </c>
      <c r="M4" s="2" t="s">
        <v>15</v>
      </c>
      <c r="N4" t="s">
        <v>25</v>
      </c>
      <c r="P4" s="3" t="s">
        <v>3</v>
      </c>
      <c r="Q4" s="14">
        <v>491</v>
      </c>
    </row>
    <row r="5" spans="1:26" x14ac:dyDescent="0.55000000000000004">
      <c r="A5" t="s">
        <v>1</v>
      </c>
      <c r="B5" s="1">
        <v>1254</v>
      </c>
      <c r="C5" s="1">
        <v>1254</v>
      </c>
      <c r="J5" s="3" t="s">
        <v>3</v>
      </c>
      <c r="K5" s="5">
        <v>0.1830723340790455</v>
      </c>
      <c r="L5" s="6"/>
      <c r="M5" s="3" t="s">
        <v>27</v>
      </c>
      <c r="N5" s="11">
        <v>721932</v>
      </c>
      <c r="P5" s="3" t="s">
        <v>16</v>
      </c>
      <c r="Q5" s="14">
        <v>778</v>
      </c>
      <c r="S5" s="7" t="s">
        <v>31</v>
      </c>
    </row>
    <row r="6" spans="1:26" x14ac:dyDescent="0.55000000000000004">
      <c r="J6" s="3" t="s">
        <v>16</v>
      </c>
      <c r="K6" s="5">
        <v>0.29008202833706187</v>
      </c>
      <c r="L6" s="6"/>
      <c r="M6" s="3" t="s">
        <v>28</v>
      </c>
      <c r="N6" s="11">
        <v>1025713</v>
      </c>
      <c r="P6" s="3" t="s">
        <v>8</v>
      </c>
      <c r="Q6" s="14">
        <v>159</v>
      </c>
      <c r="S6" s="14">
        <v>2682</v>
      </c>
    </row>
    <row r="7" spans="1:26" x14ac:dyDescent="0.55000000000000004">
      <c r="J7" s="3" t="s">
        <v>8</v>
      </c>
      <c r="K7" s="5">
        <v>5.9284116331096197E-2</v>
      </c>
      <c r="L7" s="6"/>
      <c r="M7" s="3" t="s">
        <v>29</v>
      </c>
      <c r="N7" s="11">
        <v>1338466</v>
      </c>
      <c r="P7" s="3" t="s">
        <v>17</v>
      </c>
      <c r="Q7" s="14">
        <v>1254</v>
      </c>
    </row>
    <row r="8" spans="1:26" x14ac:dyDescent="0.55000000000000004">
      <c r="J8" s="3" t="s">
        <v>17</v>
      </c>
      <c r="K8" s="5">
        <v>0.46756152125279643</v>
      </c>
      <c r="M8" s="4" t="s">
        <v>5</v>
      </c>
      <c r="N8" s="10">
        <v>3086111</v>
      </c>
      <c r="P8" s="4" t="s">
        <v>5</v>
      </c>
      <c r="Q8" s="14">
        <v>2682</v>
      </c>
    </row>
    <row r="9" spans="1:26" x14ac:dyDescent="0.55000000000000004">
      <c r="A9" s="2" t="s">
        <v>0</v>
      </c>
      <c r="B9" s="2" t="s">
        <v>4</v>
      </c>
      <c r="J9" s="4" t="s">
        <v>5</v>
      </c>
      <c r="K9" s="5">
        <v>1</v>
      </c>
    </row>
    <row r="10" spans="1:26" x14ac:dyDescent="0.55000000000000004">
      <c r="A10" s="2" t="s">
        <v>15</v>
      </c>
      <c r="B10" t="s">
        <v>6</v>
      </c>
      <c r="C10" t="s">
        <v>5</v>
      </c>
    </row>
    <row r="11" spans="1:26" x14ac:dyDescent="0.55000000000000004">
      <c r="A11" s="3" t="s">
        <v>7</v>
      </c>
      <c r="B11" s="5">
        <v>0.38287401574803148</v>
      </c>
      <c r="C11" s="5">
        <v>0.38287401574803148</v>
      </c>
    </row>
    <row r="12" spans="1:26" x14ac:dyDescent="0.55000000000000004">
      <c r="A12" s="3" t="s">
        <v>9</v>
      </c>
      <c r="B12" s="5">
        <v>0.61712598425196852</v>
      </c>
      <c r="C12" s="5">
        <v>0.61712598425196852</v>
      </c>
    </row>
    <row r="13" spans="1:26" x14ac:dyDescent="0.55000000000000004">
      <c r="A13" s="4" t="s">
        <v>5</v>
      </c>
      <c r="B13" s="5">
        <v>1</v>
      </c>
      <c r="C13" s="5">
        <v>1</v>
      </c>
    </row>
    <row r="17" spans="1:17" x14ac:dyDescent="0.55000000000000004">
      <c r="A17" s="2" t="s">
        <v>2</v>
      </c>
      <c r="B17" t="s" vm="1">
        <v>9</v>
      </c>
    </row>
    <row r="18" spans="1:17" x14ac:dyDescent="0.55000000000000004">
      <c r="J18" s="2" t="s">
        <v>2</v>
      </c>
      <c r="K18" t="s" vm="1">
        <v>9</v>
      </c>
    </row>
    <row r="19" spans="1:17" x14ac:dyDescent="0.55000000000000004">
      <c r="A19" s="2" t="s">
        <v>1</v>
      </c>
      <c r="B19" s="2" t="s">
        <v>4</v>
      </c>
    </row>
    <row r="20" spans="1:17" x14ac:dyDescent="0.55000000000000004">
      <c r="A20" s="2" t="s">
        <v>14</v>
      </c>
      <c r="B20">
        <v>2017</v>
      </c>
      <c r="C20" t="s">
        <v>5</v>
      </c>
      <c r="J20" s="2" t="s">
        <v>1</v>
      </c>
      <c r="K20" s="2" t="s">
        <v>4</v>
      </c>
    </row>
    <row r="21" spans="1:17" x14ac:dyDescent="0.55000000000000004">
      <c r="A21" s="3" t="s">
        <v>11</v>
      </c>
      <c r="B21" s="1">
        <v>96</v>
      </c>
      <c r="C21" s="1">
        <v>96</v>
      </c>
      <c r="J21" s="2" t="s">
        <v>14</v>
      </c>
      <c r="K21">
        <v>2017</v>
      </c>
      <c r="L21" t="s">
        <v>5</v>
      </c>
      <c r="P21" s="2" t="s">
        <v>2</v>
      </c>
      <c r="Q21" t="s" vm="2">
        <v>26</v>
      </c>
    </row>
    <row r="22" spans="1:17" x14ac:dyDescent="0.55000000000000004">
      <c r="A22" s="3" t="s">
        <v>13</v>
      </c>
      <c r="B22" s="1">
        <v>57</v>
      </c>
      <c r="C22" s="1">
        <v>57</v>
      </c>
      <c r="J22" s="3" t="s">
        <v>19</v>
      </c>
      <c r="K22" s="1">
        <v>132</v>
      </c>
      <c r="L22" s="1">
        <v>132</v>
      </c>
    </row>
    <row r="23" spans="1:17" x14ac:dyDescent="0.55000000000000004">
      <c r="A23" s="3" t="s">
        <v>12</v>
      </c>
      <c r="B23" s="1">
        <v>55</v>
      </c>
      <c r="C23" s="1">
        <v>55</v>
      </c>
      <c r="J23" s="3" t="s">
        <v>20</v>
      </c>
      <c r="K23" s="1">
        <v>179</v>
      </c>
      <c r="L23" s="1">
        <v>179</v>
      </c>
      <c r="P23" s="7" t="s">
        <v>18</v>
      </c>
    </row>
    <row r="24" spans="1:17" x14ac:dyDescent="0.55000000000000004">
      <c r="A24" s="3" t="s">
        <v>10</v>
      </c>
      <c r="B24" s="1">
        <v>71</v>
      </c>
      <c r="C24" s="1">
        <v>71</v>
      </c>
      <c r="J24" s="3" t="s">
        <v>21</v>
      </c>
      <c r="K24" s="1">
        <v>236</v>
      </c>
      <c r="L24" s="1">
        <v>236</v>
      </c>
      <c r="P24" s="12">
        <v>3086111</v>
      </c>
    </row>
    <row r="25" spans="1:17" x14ac:dyDescent="0.55000000000000004">
      <c r="A25" s="3" t="s">
        <v>30</v>
      </c>
      <c r="B25" s="1">
        <v>57</v>
      </c>
      <c r="C25" s="1">
        <v>57</v>
      </c>
      <c r="J25" s="3" t="s">
        <v>22</v>
      </c>
      <c r="K25" s="1">
        <v>251</v>
      </c>
      <c r="L25" s="1">
        <v>251</v>
      </c>
    </row>
    <row r="26" spans="1:17" x14ac:dyDescent="0.55000000000000004">
      <c r="A26" s="3" t="s">
        <v>5</v>
      </c>
      <c r="B26" s="1">
        <v>336</v>
      </c>
      <c r="C26" s="1">
        <v>336</v>
      </c>
      <c r="J26" s="3" t="s">
        <v>23</v>
      </c>
      <c r="K26" s="1">
        <v>217</v>
      </c>
      <c r="L26" s="1">
        <v>217</v>
      </c>
    </row>
    <row r="27" spans="1:17" x14ac:dyDescent="0.55000000000000004">
      <c r="J27" s="3" t="s">
        <v>24</v>
      </c>
      <c r="K27" s="1">
        <v>239</v>
      </c>
      <c r="L27" s="1">
        <v>239</v>
      </c>
    </row>
    <row r="28" spans="1:17" x14ac:dyDescent="0.55000000000000004">
      <c r="J28" s="3" t="s">
        <v>5</v>
      </c>
      <c r="K28" s="1">
        <v>1254</v>
      </c>
      <c r="L28" s="1">
        <v>1254</v>
      </c>
    </row>
  </sheetData>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305651A-B8CA-449D-B829-1CEFEB2DCA4C}">
  <ds:schemaRefs/>
</ds:datastoreItem>
</file>

<file path=customXml/itemProps2.xml><?xml version="1.0" encoding="utf-8"?>
<ds:datastoreItem xmlns:ds="http://schemas.openxmlformats.org/officeDocument/2006/customXml" ds:itemID="{AB8434CD-85E0-46CB-ABAE-31B44E039826}">
  <ds:schemaRefs/>
</ds:datastoreItem>
</file>

<file path=customXml/itemProps3.xml><?xml version="1.0" encoding="utf-8"?>
<ds:datastoreItem xmlns:ds="http://schemas.openxmlformats.org/officeDocument/2006/customXml" ds:itemID="{90050923-9721-4876-8C36-947F77F03102}">
  <ds:schemaRefs/>
</ds:datastoreItem>
</file>

<file path=customXml/itemProps4.xml><?xml version="1.0" encoding="utf-8"?>
<ds:datastoreItem xmlns:ds="http://schemas.openxmlformats.org/officeDocument/2006/customXml" ds:itemID="{55700146-971B-4BA0-ADBD-4DDF7082C4DB}">
  <ds:schemaRefs/>
</ds:datastoreItem>
</file>

<file path=customXml/itemProps5.xml><?xml version="1.0" encoding="utf-8"?>
<ds:datastoreItem xmlns:ds="http://schemas.openxmlformats.org/officeDocument/2006/customXml" ds:itemID="{28BEBFF2-D58A-43EE-85E3-073A76F44C7B}">
  <ds:schemaRefs/>
</ds:datastoreItem>
</file>

<file path=customXml/itemProps6.xml><?xml version="1.0" encoding="utf-8"?>
<ds:datastoreItem xmlns:ds="http://schemas.openxmlformats.org/officeDocument/2006/customXml" ds:itemID="{108D383D-D513-495C-A5AA-ABB87E2B6C55}">
  <ds:schemaRefs/>
</ds:datastoreItem>
</file>

<file path=customXml/itemProps7.xml><?xml version="1.0" encoding="utf-8"?>
<ds:datastoreItem xmlns:ds="http://schemas.openxmlformats.org/officeDocument/2006/customXml" ds:itemID="{8FAFEE4B-B4F5-4CBD-AA71-C05E3AE09836}">
  <ds:schemaRefs/>
</ds:datastoreItem>
</file>

<file path=customXml/itemProps8.xml><?xml version="1.0" encoding="utf-8"?>
<ds:datastoreItem xmlns:ds="http://schemas.openxmlformats.org/officeDocument/2006/customXml" ds:itemID="{56779C71-6468-4070-B855-6D8510D60C57}">
  <ds:schemaRefs/>
</ds:datastoreItem>
</file>

<file path=customXml/itemProps9.xml><?xml version="1.0" encoding="utf-8"?>
<ds:datastoreItem xmlns:ds="http://schemas.openxmlformats.org/officeDocument/2006/customXml" ds:itemID="{2A544F6A-7D7F-4F95-9AB5-C8C8D99ED792}">
  <ds:schemaRefs/>
</ds:datastoreItem>
</file>

<file path=customXml/itemProps10.xml><?xml version="1.0" encoding="utf-8"?>
<ds:datastoreItem xmlns:ds="http://schemas.openxmlformats.org/officeDocument/2006/customXml" ds:itemID="{456AFCE8-DFBE-4021-94D6-5081E8F42B62}">
  <ds:schemaRefs/>
</ds:datastoreItem>
</file>

<file path=customXml/itemProps11.xml><?xml version="1.0" encoding="utf-8"?>
<ds:datastoreItem xmlns:ds="http://schemas.openxmlformats.org/officeDocument/2006/customXml" ds:itemID="{96E7E71C-C47E-4F7C-8188-E628198BE0BC}">
  <ds:schemaRefs/>
</ds:datastoreItem>
</file>

<file path=customXml/itemProps12.xml><?xml version="1.0" encoding="utf-8"?>
<ds:datastoreItem xmlns:ds="http://schemas.openxmlformats.org/officeDocument/2006/customXml" ds:itemID="{A3872267-48B1-4937-A47B-B30B9B00D746}">
  <ds:schemaRefs/>
</ds:datastoreItem>
</file>

<file path=customXml/itemProps13.xml><?xml version="1.0" encoding="utf-8"?>
<ds:datastoreItem xmlns:ds="http://schemas.openxmlformats.org/officeDocument/2006/customXml" ds:itemID="{6AEC0542-72F2-4992-835D-C93C8FFFC46F}">
  <ds:schemaRefs/>
</ds:datastoreItem>
</file>

<file path=customXml/itemProps14.xml><?xml version="1.0" encoding="utf-8"?>
<ds:datastoreItem xmlns:ds="http://schemas.openxmlformats.org/officeDocument/2006/customXml" ds:itemID="{1B937B15-BB3D-4BA8-BA70-A4F03BE7492B}">
  <ds:schemaRefs/>
</ds:datastoreItem>
</file>

<file path=customXml/itemProps15.xml><?xml version="1.0" encoding="utf-8"?>
<ds:datastoreItem xmlns:ds="http://schemas.openxmlformats.org/officeDocument/2006/customXml" ds:itemID="{8A8F3002-C878-4482-A86C-B4BEE7E9ECFC}">
  <ds:schemaRefs/>
</ds:datastoreItem>
</file>

<file path=customXml/itemProps16.xml><?xml version="1.0" encoding="utf-8"?>
<ds:datastoreItem xmlns:ds="http://schemas.openxmlformats.org/officeDocument/2006/customXml" ds:itemID="{A4A6F1E6-052B-4D6C-BD68-5203016D5DEC}">
  <ds:schemaRefs/>
</ds:datastoreItem>
</file>

<file path=customXml/itemProps17.xml><?xml version="1.0" encoding="utf-8"?>
<ds:datastoreItem xmlns:ds="http://schemas.openxmlformats.org/officeDocument/2006/customXml" ds:itemID="{CBD93B2F-226E-43CD-9056-9DF8F776DD3E}">
  <ds:schemaRefs/>
</ds:datastoreItem>
</file>

<file path=customXml/itemProps18.xml><?xml version="1.0" encoding="utf-8"?>
<ds:datastoreItem xmlns:ds="http://schemas.openxmlformats.org/officeDocument/2006/customXml" ds:itemID="{A12EDF15-8629-4FF6-96BB-7056DF7C9B12}">
  <ds:schemaRefs/>
</ds:datastoreItem>
</file>

<file path=customXml/itemProps19.xml><?xml version="1.0" encoding="utf-8"?>
<ds:datastoreItem xmlns:ds="http://schemas.openxmlformats.org/officeDocument/2006/customXml" ds:itemID="{5348945C-6A58-4125-8CBE-79645C3275BA}">
  <ds:schemaRefs/>
</ds:datastoreItem>
</file>

<file path=customXml/itemProps20.xml><?xml version="1.0" encoding="utf-8"?>
<ds:datastoreItem xmlns:ds="http://schemas.openxmlformats.org/officeDocument/2006/customXml" ds:itemID="{6BEA85CA-EFC2-4F6D-A2B5-39B2419F4BD2}">
  <ds:schemaRefs/>
</ds:datastoreItem>
</file>

<file path=customXml/itemProps21.xml><?xml version="1.0" encoding="utf-8"?>
<ds:datastoreItem xmlns:ds="http://schemas.openxmlformats.org/officeDocument/2006/customXml" ds:itemID="{85EB4E70-02D2-4D7E-A065-48EEF383B8A2}">
  <ds:schemaRefs/>
</ds:datastoreItem>
</file>

<file path=customXml/itemProps22.xml><?xml version="1.0" encoding="utf-8"?>
<ds:datastoreItem xmlns:ds="http://schemas.openxmlformats.org/officeDocument/2006/customXml" ds:itemID="{B90023D5-1B17-4115-91DA-C13FE908B794}">
  <ds:schemaRefs/>
</ds:datastoreItem>
</file>

<file path=customXml/itemProps23.xml><?xml version="1.0" encoding="utf-8"?>
<ds:datastoreItem xmlns:ds="http://schemas.openxmlformats.org/officeDocument/2006/customXml" ds:itemID="{00CFF6D3-890E-4E38-8BB4-5867AEF10823}">
  <ds:schemaRefs/>
</ds:datastoreItem>
</file>

<file path=customXml/itemProps24.xml><?xml version="1.0" encoding="utf-8"?>
<ds:datastoreItem xmlns:ds="http://schemas.openxmlformats.org/officeDocument/2006/customXml" ds:itemID="{C650FC0D-2CC2-4CD6-87D7-5AD23392DC27}">
  <ds:schemaRefs/>
</ds:datastoreItem>
</file>

<file path=customXml/itemProps25.xml><?xml version="1.0" encoding="utf-8"?>
<ds:datastoreItem xmlns:ds="http://schemas.openxmlformats.org/officeDocument/2006/customXml" ds:itemID="{CB36FFD6-6170-40AD-9E01-C4227EFCC071}">
  <ds:schemaRefs/>
</ds:datastoreItem>
</file>

<file path=customXml/itemProps26.xml><?xml version="1.0" encoding="utf-8"?>
<ds:datastoreItem xmlns:ds="http://schemas.openxmlformats.org/officeDocument/2006/customXml" ds:itemID="{37B5224D-E35F-4792-9FB5-FB542B3C4992}">
  <ds:schemaRefs/>
</ds:datastoreItem>
</file>

<file path=customXml/itemProps27.xml><?xml version="1.0" encoding="utf-8"?>
<ds:datastoreItem xmlns:ds="http://schemas.openxmlformats.org/officeDocument/2006/customXml" ds:itemID="{B83B38DB-639B-4D3E-8117-05DB8FD8BAFA}">
  <ds:schemaRefs/>
</ds:datastoreItem>
</file>

<file path=customXml/itemProps28.xml><?xml version="1.0" encoding="utf-8"?>
<ds:datastoreItem xmlns:ds="http://schemas.openxmlformats.org/officeDocument/2006/customXml" ds:itemID="{368FEDC1-8D62-459B-BAEC-9EF92821DA3A}">
  <ds:schemaRefs/>
</ds:datastoreItem>
</file>

<file path=customXml/itemProps29.xml><?xml version="1.0" encoding="utf-8"?>
<ds:datastoreItem xmlns:ds="http://schemas.openxmlformats.org/officeDocument/2006/customXml" ds:itemID="{841D46F8-3A92-4A01-B67C-6D7E5A974DD1}">
  <ds:schemaRefs/>
</ds:datastoreItem>
</file>

<file path=customXml/itemProps30.xml><?xml version="1.0" encoding="utf-8"?>
<ds:datastoreItem xmlns:ds="http://schemas.openxmlformats.org/officeDocument/2006/customXml" ds:itemID="{09A5B7FC-9122-4B53-AE18-D9BF7843AC4A}">
  <ds:schemaRefs/>
</ds:datastoreItem>
</file>

<file path=customXml/itemProps31.xml><?xml version="1.0" encoding="utf-8"?>
<ds:datastoreItem xmlns:ds="http://schemas.openxmlformats.org/officeDocument/2006/customXml" ds:itemID="{81EBEEC1-3469-4594-BE72-0A0FEDF89A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Time Fram1</vt:lpstr>
      <vt:lpstr>Sheet1</vt:lpstr>
      <vt:lpstr>'Time Fram1'!Print_Area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Hesham Lootfy</dc:creator>
  <cp:lastModifiedBy>Hesham Lootfy</cp:lastModifiedBy>
  <dcterms:created xsi:type="dcterms:W3CDTF">2015-06-05T18:17:20Z</dcterms:created>
  <dcterms:modified xsi:type="dcterms:W3CDTF">2026-01-02T05:59:25Z</dcterms:modified>
</cp:coreProperties>
</file>